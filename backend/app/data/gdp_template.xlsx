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nduan" sheetId="1" state="visible" r:id="rId1"/>
    <sheet xmlns:r="http://schemas.openxmlformats.org/officeDocument/2006/relationships" name="Puskesmas" sheetId="2" state="visible" r:id="rId2"/>
    <sheet xmlns:r="http://schemas.openxmlformats.org/officeDocument/2006/relationships" name="Re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yyyy"/>
    <numFmt numFmtId="166" formatCode="[$-409]d\-mmm\-yyyy"/>
  </numFmts>
  <fonts count="12">
    <font>
      <name val="Aptos Narrow"/>
      <color theme="1"/>
      <sz val="11"/>
      <scheme val="minor"/>
    </font>
    <font>
      <name val="Arial"/>
      <b val="1"/>
      <color theme="1"/>
      <sz val="14"/>
    </font>
    <font>
      <name val="Arial"/>
      <color theme="1"/>
    </font>
    <font>
      <name val="Arial"/>
      <color theme="1"/>
      <u val="single"/>
    </font>
    <font>
      <name val="Aptos Narrow"/>
      <b val="1"/>
      <color theme="1"/>
      <sz val="14"/>
    </font>
    <font/>
    <font>
      <name val="Aptos Narrow"/>
      <b val="1"/>
      <color theme="1"/>
      <sz val="11"/>
    </font>
    <font>
      <name val="Arial"/>
      <color theme="1"/>
      <sz val="11"/>
    </font>
    <font>
      <name val="Aptos Narrow"/>
      <color rgb="FF000000"/>
      <sz val="7"/>
    </font>
    <font>
      <name val="Aptos Narrow"/>
      <color theme="1"/>
      <sz val="11"/>
    </font>
    <font>
      <name val="Aptos Narrow"/>
      <color theme="1"/>
      <sz val="7"/>
    </font>
    <font>
      <name val="Aptos Narrow"/>
      <b val="1"/>
      <color theme="1"/>
      <sz val="12"/>
    </font>
  </fonts>
  <fills count="4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CFE2F3"/>
        <bgColor rgb="FFCFE2F3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3" fontId="1" fillId="2" borderId="2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3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3" fontId="7" fillId="0" borderId="6" applyAlignment="1" pivotButton="0" quotePrefix="0" xfId="0">
      <alignment horizontal="center" vertical="center"/>
    </xf>
    <xf numFmtId="3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164" fontId="7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3" fontId="7" fillId="0" borderId="6" applyAlignment="1" pivotButton="0" quotePrefix="0" xfId="0">
      <alignment horizontal="center"/>
    </xf>
    <xf numFmtId="3" fontId="9" fillId="0" borderId="6" applyAlignment="1" pivotButton="0" quotePrefix="0" xfId="0">
      <alignment horizontal="center"/>
    </xf>
    <xf numFmtId="3" fontId="7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164" fontId="9" fillId="0" borderId="6" applyAlignment="1" pivotButton="0" quotePrefix="0" xfId="0">
      <alignment horizontal="center"/>
    </xf>
    <xf numFmtId="164" fontId="9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0">
      <alignment horizontal="center" vertical="center"/>
    </xf>
    <xf numFmtId="166" fontId="9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1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11" fillId="3" borderId="10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 wrapText="1"/>
    </xf>
    <xf numFmtId="0" fontId="9" fillId="0" borderId="6" pivotButton="0" quotePrefix="0" xfId="0"/>
    <xf numFmtId="0" fontId="9" fillId="0" borderId="4" pivotButton="0" quotePrefix="0" xfId="0"/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164" fontId="1" fillId="2" borderId="6" applyAlignment="1" pivotButton="0" quotePrefix="0" xfId="0">
      <alignment horizontal="center" vertical="center" wrapText="1"/>
    </xf>
    <xf numFmtId="3" fontId="1" fillId="2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3" borderId="17" applyAlignment="1" pivotButton="0" quotePrefix="0" xfId="0">
      <alignment horizontal="center" vertical="center"/>
    </xf>
    <xf numFmtId="0" fontId="0" fillId="0" borderId="18" pivotButton="0" quotePrefix="0" xfId="0"/>
  </cellXfs>
  <cellStyles count="1">
    <cellStyle name="Normal" xfId="0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presentation/d/1ryum5YSVCRoVw_t1Y88uEEtfTpqxQKl8-lJfsSkUPHQ/edit?usp=sharing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A7"/>
  <sheetViews>
    <sheetView workbookViewId="0">
      <selection activeCell="A1" sqref="A1"/>
    </sheetView>
  </sheetViews>
  <sheetFormatPr baseColWidth="8" defaultColWidth="12.63" defaultRowHeight="15" customHeight="1"/>
  <cols>
    <col width="108.38" customWidth="1" style="53" min="1" max="1"/>
  </cols>
  <sheetData>
    <row r="2">
      <c r="A2" s="1" t="inlineStr">
        <is>
          <t>Panduan Penggunaan (Harap Diperhatikan)</t>
        </is>
      </c>
    </row>
    <row r="4">
      <c r="A4" s="2" t="inlineStr">
        <is>
          <t>1. File ini hanyalah File Master, untuk pengisian masing-masing Puskesmas harap membuat salinan pada "File" &gt; "Buat Salinan/Make a Copy"</t>
        </is>
      </c>
    </row>
    <row r="5">
      <c r="A5" s="3" t="inlineStr">
        <is>
          <t>2. Akses panduan penggunaan kertas bantu pada link: Panduan Penggunaan Kertas Bantu Pemantauan Gula Darah Terkendali</t>
        </is>
      </c>
    </row>
    <row r="6">
      <c r="A6" s="4" t="inlineStr">
        <is>
          <t>3. Pengisian dilakukan pada kolom A-R sheets "Puskesmas". Harap tidak mengubah kolom S-W karena akan mengubah rumus otomatis.</t>
        </is>
      </c>
    </row>
    <row r="7">
      <c r="A7" s="2" t="inlineStr">
        <is>
          <t>4. Hasil pada kolom "Rekap" sudah terhitung secara otomatis, harap tidak mengubah kolom A-AA.</t>
        </is>
      </c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ColWidth="12.63" defaultRowHeight="15" customHeight="1"/>
  <cols>
    <col width="23.88" customWidth="1" style="53" min="1" max="1"/>
    <col width="26.63" customWidth="1" style="53" min="2" max="5"/>
    <col width="25.63" customWidth="1" style="53" min="6" max="6"/>
    <col width="13" customWidth="1" style="53" min="7" max="7"/>
    <col width="12.88" customWidth="1" style="53" min="8" max="14"/>
    <col width="14.5" customWidth="1" style="53" min="15" max="15"/>
    <col width="12.88" customWidth="1" style="53" min="16" max="16"/>
    <col width="14.38" customWidth="1" style="53" min="17" max="18"/>
    <col width="30.25" customWidth="1" style="53" min="19" max="19"/>
    <col width="19.88" customWidth="1" style="53" min="20" max="23"/>
  </cols>
  <sheetData>
    <row r="1" ht="45" customHeight="1" s="53">
      <c r="A1" s="54" t="inlineStr">
        <is>
          <t>Nama Puskesmas</t>
        </is>
      </c>
      <c r="B1" s="55" t="inlineStr">
        <is>
          <t>Tahun Pelaporan
*wajib diisi</t>
        </is>
      </c>
      <c r="C1" s="55" t="inlineStr">
        <is>
          <t>Nama Pasien/NIK</t>
        </is>
      </c>
      <c r="D1" s="56" t="inlineStr">
        <is>
          <t>Tanggal Diagnosis
(Tgl/Bulan/Tahun)</t>
        </is>
      </c>
      <c r="E1" s="55" t="inlineStr">
        <is>
          <t>Tertatalaksana (Pemberian Obat)</t>
        </is>
      </c>
      <c r="F1" s="55" t="inlineStr">
        <is>
          <t>Tertatalaksana (Pemberian Edukasi)</t>
        </is>
      </c>
      <c r="G1" s="57" t="inlineStr">
        <is>
          <t>Pemeriksaan Gula Darah Puasa per Bulan Kunjungan</t>
        </is>
      </c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9" t="n"/>
      <c r="S1" s="55" t="inlineStr">
        <is>
          <t>Terkendali Bulan Berjalan</t>
        </is>
      </c>
      <c r="T1" s="55" t="inlineStr">
        <is>
          <t>Terkendali TW 1</t>
        </is>
      </c>
      <c r="U1" s="55" t="inlineStr">
        <is>
          <t>Terkendali TW 2</t>
        </is>
      </c>
      <c r="V1" s="55" t="inlineStr">
        <is>
          <t>Terkendali TW 3</t>
        </is>
      </c>
      <c r="W1" s="55" t="inlineStr">
        <is>
          <t>Terkendali TW 4</t>
        </is>
      </c>
    </row>
    <row r="2" ht="14.25" customHeight="1" s="53">
      <c r="A2" s="60" t="n"/>
      <c r="B2" s="60" t="n"/>
      <c r="C2" s="60" t="n"/>
      <c r="D2" s="60" t="n"/>
      <c r="E2" s="60" t="n"/>
      <c r="F2" s="60" t="n"/>
      <c r="G2" s="13" t="inlineStr">
        <is>
          <t>Hasil Pemeriksaan GD Januari</t>
        </is>
      </c>
      <c r="H2" s="13" t="inlineStr">
        <is>
          <t>Hasil Pemeriksaan GD Februari</t>
        </is>
      </c>
      <c r="I2" s="13" t="inlineStr">
        <is>
          <t>Hasil Pemeriksaan GD Maret</t>
        </is>
      </c>
      <c r="J2" s="13" t="inlineStr">
        <is>
          <t>Hasil Pemeriksaan GD April</t>
        </is>
      </c>
      <c r="K2" s="13" t="inlineStr">
        <is>
          <t>Hasil Pemeriksaan GD Mei</t>
        </is>
      </c>
      <c r="L2" s="13" t="inlineStr">
        <is>
          <t>Hasil Pemeriksaan GD Juni</t>
        </is>
      </c>
      <c r="M2" s="13" t="inlineStr">
        <is>
          <t>Hasil Pemeriksaan GD Juli</t>
        </is>
      </c>
      <c r="N2" s="13" t="inlineStr">
        <is>
          <t>Hasil Pemeriksaan GD Agustus</t>
        </is>
      </c>
      <c r="O2" s="13" t="inlineStr">
        <is>
          <t>Hasil Pemeriksaan GD September</t>
        </is>
      </c>
      <c r="P2" s="13" t="inlineStr">
        <is>
          <t>Hasil Pemeriksaan GD Oktober</t>
        </is>
      </c>
      <c r="Q2" s="13" t="inlineStr">
        <is>
          <t>Hasil Pemeriksaan GD November</t>
        </is>
      </c>
      <c r="R2" s="13" t="inlineStr">
        <is>
          <t>Hasil Pemeriksaan GD Desember</t>
        </is>
      </c>
      <c r="S2" s="60" t="n"/>
      <c r="T2" s="60" t="n"/>
      <c r="U2" s="60" t="n"/>
      <c r="V2" s="60" t="n"/>
      <c r="W2" s="60" t="n"/>
    </row>
    <row r="3" ht="14.25" customHeight="1" s="53">
      <c r="A3" s="14" t="n"/>
      <c r="B3" s="14" t="n"/>
      <c r="C3" s="14" t="n"/>
      <c r="D3" s="15" t="n"/>
      <c r="E3" s="16" t="n"/>
      <c r="F3" s="16" t="n"/>
      <c r="G3" s="17" t="n"/>
      <c r="H3" s="17" t="n"/>
      <c r="I3" s="17" t="n"/>
      <c r="J3" s="17" t="n"/>
      <c r="K3" s="17" t="n"/>
      <c r="L3" s="17" t="n"/>
      <c r="M3" s="17" t="n"/>
      <c r="N3" s="17" t="n"/>
      <c r="O3" s="18" t="n"/>
      <c r="P3" s="18" t="n"/>
      <c r="Q3" s="18" t="n"/>
      <c r="R3" s="17" t="n"/>
      <c r="S3" s="31">
        <f t="array" ref="S3:S33766">MAP(
  G3:G33766,H3:H33766,I3:I33766,J3:J33766,K3:K33766,L3:L33766,
  M3:M33766,N3:N33766,O3:O33766,P3:P33766,Q3:Q33766,R3:R33766,
  D3:D33766,
  LAMBDA(
    jan,feb,mar,apr,mei,jun,jul,agu,sep,okt,nov,des,
    diag,
    IF(diag="","",
      LET(
        eligible, EOMONTH(diag,3)+1,
        bulan, SEQUENCE(1,12),
        row, N({jan,feb,mar,apr,mei,jun,jul,agu,sep,okt,nov,des}),
        bulan_aktif,
          MAX(
            IF(
              DATE(YEAR(TODAY()),bulan,1) &lt;= TODAY(),
              bulan
            )
          ),
        IF(
          DATE(YEAR(TODAY()),bulan_aktif,1) &lt; eligible,
          "Belum 3 bulan",
          LET(
            valid,
              (bulan &gt;= bulan_aktif-2) *
              (bulan &lt;= bulan_aktif) *
              (row &gt; 0),
            terakhir,
              IFERROR(LOOKUP(2,1/valid,row),""),
            IF(
              terakhir="",
              "Tidak ada kunjungan",
             IF(
               (terakhir&gt;=80)*(terakhir&lt;=130),
               "Terkendali",
              "Tidak terkendali"
             )
            )
          )
        )
      )
    )
  )
)</f>
        <v/>
      </c>
      <c r="T3" s="31">
        <f t="array" ref="T3:T33766">MAP(
  G3:G33766, H3:H33766, I3:I33766, D3:D33766, B3:B33766,
  LAMBDA(jan, feb, mar, diag, tahun,
    IF(diag="","",
      LET(
        eligible, EOMONTH(diag,3)+1,
        cutoff, DATE(tahun,4,1),
        IF(eligible&gt;=cutoff,"Belum 3 bulan",
          LET(
            row, {jan,feb,mar},
            bulan, {1,2,3},
            tanggal_bulan, DATE(tahun,bulan,1),
            valid,
              (tanggal_bulan&gt;=eligible)*
              ISNUMBER(row),
            terakhir,
              IFERROR(LOOKUP(2,1/valid,row),""),
            IF(terakhir="","Tidak ada kunjungan",
               IF(
               (terakhir&gt;=80)*(terakhir&lt;=130),
               "Terkendali",
              "Tidak terkendali")
            )
          )
        )
      )
    )
  )
)</f>
        <v/>
      </c>
      <c r="U3" s="31">
        <f t="array" ref="U3:U33766">MAP(
  J3:J33766, K3:K33766, L3:L33766, D3:D33766, B3:B33766,
  LAMBDA(apr, mei, jun, diag, tahun,
    IF(diag="","",
      LET(
        eligible, EOMONTH(diag,3)+1,
        cutoff, DATE(tahun,7,1),
        IF(eligible&gt;=cutoff,"Belum 3 bulan",
          LET(
            row, {apr,mei,jun},
            bulan, {4,5,6},
            tanggal_bulan, DATE(tahun,bulan,1),
            valid,
              (tanggal_bulan&gt;=eligible)*
              ISNUMBER(row),
            terakhir,
              IFERROR(LOOKUP(2,1/valid,row),""),
            IF(terakhir="","Tidak ada kunjungan",
               IF(
               (terakhir&gt;=80)*(terakhir&lt;=130),
               "Terkendali",
              "Tidak terkendali")
            )
          )
        )
      )
    )
  )
)</f>
        <v/>
      </c>
      <c r="V3" s="31">
        <f t="array" ref="V3:V33766">MAP(
  M3:M33766, N3:N33766, O3:O33766, D3:D33766, B3:B33766,
  LAMBDA(jul, ags, sep, diag, tahun,
    IF(diag="","",
      LET(
        eligible, EOMONTH(diag,3)+1,
        cutoff, DATE(tahun,10,1),
        IF(eligible&gt;=cutoff,"Belum 3 bulan",
          LET(
            row, {jul,ags,sep},
            bulan, {7,8,9},
            tanggal_bulan, DATE(tahun,bulan,1),
            valid,
              (tanggal_bulan&gt;=eligible)*
              ISNUMBER(row),
            terakhir,
              IFERROR(LOOKUP(2,1/valid,row),""),
            IF(terakhir="","Tidak ada kunjungan",
               IF(
               (terakhir&gt;=80)*(terakhir&lt;=130),
               "Terkendali",
              "Tidak terkendali")
            )
          )
        )
      )
    )
  )
)</f>
        <v/>
      </c>
      <c r="W3" s="31">
        <f t="array" ref="W3:W33766">MAP(
  P3:P33766, Q3:Q33766, R3:R33766, D3:D33766, B3:B33766,
  LAMBDA(okt, nov, des, diag, tahun,
    IF(diag="","",
      LET(
        eligible, EOMONTH(diag,3)+1,
        cutoff, DATE(tahun,12,1),
        IF(eligible&gt;=cutoff,"Belum 3 bulan",
          LET(
            row, {okt,nov,des},
            bulan, {10,11,12},
            tanggal_bulan, DATE(tahun,bulan,1),
            valid,
              (tanggal_bulan&gt;=eligible)*
              ISNUMBER(row),
            terakhir,
              IFERROR(LOOKUP(2,1/valid,row),""),
            IF(terakhir="","Tidak ada kunjungan",
               IF(
               (terakhir&gt;=80)*(terakhir&lt;=130),
               "Terkendali",
              "Tidak terkendali")
            )
          )
        )
      )
    )
  )
)</f>
        <v/>
      </c>
    </row>
  </sheetData>
  <mergeCells count="12">
    <mergeCell ref="W1:W2"/>
    <mergeCell ref="U1:U2"/>
    <mergeCell ref="T1:T2"/>
    <mergeCell ref="G1:R1"/>
    <mergeCell ref="C1:C2"/>
    <mergeCell ref="B1:B2"/>
    <mergeCell ref="D1:D2"/>
    <mergeCell ref="V1:V2"/>
    <mergeCell ref="E1:E2"/>
    <mergeCell ref="F1:F2"/>
    <mergeCell ref="S1:S2"/>
    <mergeCell ref="A1:A2"/>
  </mergeCells>
  <conditionalFormatting sqref="G3:R33766">
    <cfRule type="cellIs" priority="1" operator="notBetween" dxfId="0">
      <formula>80</formula>
      <formula>130</formula>
    </cfRule>
    <cfRule type="cellIs" priority="2" operator="between" dxfId="1">
      <formula>80</formula>
      <formula>130</formula>
    </cfRule>
  </conditionalFormatting>
  <conditionalFormatting sqref="G3:G33766">
    <cfRule type="expression" priority="3" dxfId="2">
      <formula>DATE($B3,1,1)&lt;=EOMONTH(TODAY(),0)</formula>
    </cfRule>
  </conditionalFormatting>
  <conditionalFormatting sqref="H1:H33766">
    <cfRule type="expression" priority="4" dxfId="2">
      <formula>DATE($B3,2,1)&lt;=EOMONTH(TODAY(),0)</formula>
    </cfRule>
  </conditionalFormatting>
  <conditionalFormatting sqref="I1:I33766">
    <cfRule type="expression" priority="5" dxfId="2">
      <formula>AND(   ISNUMBER($B3),   DATE($B3,3,1)&lt;=EOMONTH(TODAY(),0) )</formula>
    </cfRule>
  </conditionalFormatting>
  <dataValidations count="12">
    <dataValidation sqref="N3:N33766" showDropDown="1" showInputMessage="1" showErrorMessage="1" allowBlank="1" prompt="Mohon isi dengan nilai yang sesuai pada bulan berjalan. Pastikan kolom &quot;Tahun Pelaporan (B)&quot; terisi." type="custom">
      <formula1>OR(   N3="",   AND(     ISNUMBER($B3),     DATE($B3,8,1)&lt;=EOMONTH(TODAY(),0),     ISNUMBER(N3),     N3&gt;=1,     N3&lt;=600   ) )</formula1>
    </dataValidation>
    <dataValidation sqref="M3:M33766" showDropDown="1" showInputMessage="1" showErrorMessage="1" allowBlank="1" prompt="Mohon isi dengan nilai yang sesuai pada bulan berjalan. Pastikan kolom &quot;Tahun Pelaporan (B)&quot; terisi." type="custom">
      <formula1>OR(   M3="",   AND(     ISNUMBER($B3),     DATE($B3,7,1)&lt;=EOMONTH(TODAY(),0),     ISNUMBER(M3),     M3&gt;=1,     M3&lt;=600   ) )</formula1>
    </dataValidation>
    <dataValidation sqref="J3:J33766" showDropDown="1" showInputMessage="1" showErrorMessage="1" allowBlank="1" prompt="Mohon isi dengan nilai yang sesuai pada bulan berjalan. Pastikan kolom &quot;Tahun Pelaporan (B)&quot; terisi." type="custom">
      <formula1>OR(   J3="",   AND(     ISNUMBER($B3),     DATE($B3,4,1)&lt;=EOMONTH(TODAY(),0),     ISNUMBER(J3),     J3&gt;=1,     J3&lt;=600   ) )</formula1>
    </dataValidation>
    <dataValidation sqref="O3:O33766" showDropDown="1" showInputMessage="1" showErrorMessage="1" allowBlank="1" prompt="Mohon isi dengan nilai yang sesuai pada bulan berjalan. Pastikan kolom &quot;Tahun Pelaporan (B)&quot; terisi." type="custom">
      <formula1>OR(   O3="",   AND(     ISNUMBER($B3),     DATE($B3,9,1)&lt;=EOMONTH(TODAY(),0),     ISNUMBER(O3),     O3&gt;=1,     O3&lt;=600   ) )</formula1>
    </dataValidation>
    <dataValidation sqref="G3:G33766" showDropDown="1" showInputMessage="1" showErrorMessage="1" allowBlank="1" prompt="Mohon isi dengan nilai yang sesuai pada bulan berjalan. Pastikan kolom &quot;Tahun Pelaporan (B)&quot; terisi." type="custom">
      <formula1>OR(   G3="",   AND(     ISNUMBER($B3),     DATE($B3,1,1)&lt;=EOMONTH(TODAY(),0),     ISNUMBER(G3),     G3&gt;=1,     G3&lt;=600   ) )</formula1>
    </dataValidation>
    <dataValidation sqref="P3:P33766" showDropDown="1" showInputMessage="1" showErrorMessage="1" allowBlank="1" prompt="Mohon isi dengan nilai yang sesuai pada bulan berjalan. Pastikan kolom &quot;Tahun Pelaporan (B)&quot; terisi." type="custom">
      <formula1>OR(   P3="",   AND(     ISNUMBER($B3),     DATE($B3,10,1)&lt;=EOMONTH(TODAY(),0),     ISNUMBER(P3),     P3&gt;=1,     P3&lt;=600   ) )</formula1>
    </dataValidation>
    <dataValidation sqref="Q3:Q33766" showDropDown="1" showInputMessage="1" showErrorMessage="1" allowBlank="1" prompt="Mohon isi dengan nilai yang sesuai pada bulan berjalan. Pastikan kolom &quot;Tahun Pelaporan (B)&quot; terisi." type="custom">
      <formula1>OR(   Q3="",   AND(     ISNUMBER($B3),     DATE($B3,11,1)&lt;=EOMONTH(TODAY(),0),     ISNUMBER(Q3),     Q3&gt;=1,     Q3&lt;=600   ) )</formula1>
    </dataValidation>
    <dataValidation sqref="L3:L33766" showDropDown="1" showInputMessage="1" showErrorMessage="1" allowBlank="1" prompt="Mohon isi dengan nilai yang sesuai pada bulan berjalan. Pastikan kolom &quot;Tahun Pelaporan (B)&quot; terisi." type="custom">
      <formula1>OR(   L3="",   AND(     ISNUMBER($B3),     DATE($B3,6,1)&lt;=EOMONTH(TODAY(),0),     ISNUMBER(L3),     L3&gt;=1,     L3&lt;=600   ) )</formula1>
    </dataValidation>
    <dataValidation sqref="K3:K33766" showDropDown="1" showInputMessage="1" showErrorMessage="1" allowBlank="1" prompt="Mohon isi dengan nilai yang sesuai pada bulan berjalan. Pastikan kolom &quot;Tahun Pelaporan (B)&quot; terisi." type="custom">
      <formula1>OR(   K3="",   AND(     ISNUMBER($B3),     DATE($B3,5,1)&lt;=EOMONTH(TODAY(),0),     ISNUMBER(K3),     K3&gt;=1,     K3&lt;=600   ) )</formula1>
    </dataValidation>
    <dataValidation sqref="R3:R33766" showDropDown="1" showInputMessage="1" showErrorMessage="1" allowBlank="1" prompt="Mohon isi dengan nilai yang sesuai pada bulan berjalan. Pastikan kolom &quot;Tahun Pelaporan (B)&quot; terisi." type="custom">
      <formula1>OR(   R3="",   AND(     ISNUMBER($B3),     DATE($B3,12,1)&lt;=EOMONTH(TODAY(),0),     ISNUMBER(R3),     R3&gt;=1,     R3&lt;=600   ) )</formula1>
    </dataValidation>
    <dataValidation sqref="H3:H33766" showDropDown="1" showInputMessage="1" showErrorMessage="1" allowBlank="1" prompt="Mohon isi dengan nilai yang sesuai pada bulan berjalan. Pastikan kolom &quot;Tahun Pelaporan (B)&quot; terisi." type="custom">
      <formula1>OR(   H3="",   AND(     ISNUMBER($B3),     DATE($B3,2,1)&lt;=EOMONTH(TODAY(),0),     ISNUMBER(H3),     H3&gt;=1,     H3&lt;=600   ) )</formula1>
    </dataValidation>
    <dataValidation sqref="I3:I33766" showDropDown="1" showInputMessage="1" showErrorMessage="1" allowBlank="1" prompt="Mohon isi dengan nilai yang sesuai pada bulan berjalan. Pastikan kolom &quot;Tahun Pelaporan (B)&quot; terisi." type="custom">
      <formula1>OR(   I3="",   AND(     ISNUMBER($B3),     DATE($B3,3,1)&lt;=EOMONTH(TODAY(),0),     ISNUMBER(I3),     I3&gt;=1,     I3&lt;=600   ) 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ColWidth="12.63" defaultRowHeight="15" customHeight="1"/>
  <cols>
    <col width="9.130000000000001" customWidth="1" style="53" min="1" max="1"/>
    <col width="8.630000000000001" customWidth="1" style="53" min="2" max="7"/>
    <col width="9.5" customWidth="1" style="53" min="8" max="8"/>
    <col width="12.75" customWidth="1" style="53" min="9" max="9"/>
    <col width="9.5" customWidth="1" style="53" min="10" max="10"/>
    <col width="8.630000000000001" customWidth="1" style="53" min="11" max="12"/>
    <col width="16.38" customWidth="1" style="53" min="13" max="13"/>
    <col width="8.630000000000001" customWidth="1" style="53" min="14" max="17"/>
    <col width="16.38" customWidth="1" style="53" min="18" max="18"/>
    <col width="8.630000000000001" customWidth="1" style="53" min="19" max="22"/>
    <col width="16.38" customWidth="1" style="53" min="23" max="23"/>
    <col width="8.630000000000001" customWidth="1" style="53" min="24" max="26"/>
    <col width="14.25" customWidth="1" style="53" min="27" max="27"/>
  </cols>
  <sheetData>
    <row r="1" ht="24.75" customHeight="1" s="53">
      <c r="A1" s="45" t="inlineStr">
        <is>
          <t>Pasien yang Dilayani Sesuai Standar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9" t="n"/>
      <c r="M1" s="45" t="inlineStr">
        <is>
          <t>Total Pasien Terkendali</t>
        </is>
      </c>
      <c r="N1" s="58" t="n"/>
      <c r="O1" s="58" t="n"/>
      <c r="P1" s="58" t="n"/>
      <c r="Q1" s="59" t="n"/>
      <c r="R1" s="61" t="inlineStr">
        <is>
          <t>Total Pasien Terkendali yang Diberikan Obat</t>
        </is>
      </c>
      <c r="S1" s="62" t="n"/>
      <c r="T1" s="62" t="n"/>
      <c r="U1" s="62" t="n"/>
      <c r="V1" s="62" t="n"/>
      <c r="W1" s="45" t="inlineStr">
        <is>
          <t>Total Pasien Terkendali yang Tidak Diberikan Obat</t>
        </is>
      </c>
      <c r="X1" s="58" t="n"/>
      <c r="Y1" s="58" t="n"/>
      <c r="Z1" s="58" t="n"/>
      <c r="AA1" s="59" t="n"/>
    </row>
    <row r="2" ht="24.75" customHeight="1" s="53">
      <c r="A2" s="44" t="inlineStr">
        <is>
          <t>Jan</t>
        </is>
      </c>
      <c r="B2" s="45" t="inlineStr">
        <is>
          <t>Feb</t>
        </is>
      </c>
      <c r="C2" s="45" t="inlineStr">
        <is>
          <t>Mar</t>
        </is>
      </c>
      <c r="D2" s="45" t="inlineStr">
        <is>
          <t>April</t>
        </is>
      </c>
      <c r="E2" s="45" t="inlineStr">
        <is>
          <t>Mei</t>
        </is>
      </c>
      <c r="F2" s="45" t="inlineStr">
        <is>
          <t>Juni</t>
        </is>
      </c>
      <c r="G2" s="45" t="inlineStr">
        <is>
          <t>Juli</t>
        </is>
      </c>
      <c r="H2" s="45" t="inlineStr">
        <is>
          <t>Ags</t>
        </is>
      </c>
      <c r="I2" s="45" t="inlineStr">
        <is>
          <t>Sept</t>
        </is>
      </c>
      <c r="J2" s="45" t="inlineStr">
        <is>
          <t>Okt</t>
        </is>
      </c>
      <c r="K2" s="45" t="inlineStr">
        <is>
          <t>Nov</t>
        </is>
      </c>
      <c r="L2" s="46" t="inlineStr">
        <is>
          <t>Des</t>
        </is>
      </c>
      <c r="M2" s="45" t="inlineStr">
        <is>
          <t>Bulan Berjalan</t>
        </is>
      </c>
      <c r="N2" s="45" t="inlineStr">
        <is>
          <t>TW1</t>
        </is>
      </c>
      <c r="O2" s="47" t="inlineStr">
        <is>
          <t>TW2</t>
        </is>
      </c>
      <c r="P2" s="47" t="inlineStr">
        <is>
          <t>TW3</t>
        </is>
      </c>
      <c r="Q2" s="47" t="inlineStr">
        <is>
          <t>TW4</t>
        </is>
      </c>
      <c r="R2" s="48" t="inlineStr">
        <is>
          <t>Bulan Berjalan</t>
        </is>
      </c>
      <c r="S2" s="45" t="inlineStr">
        <is>
          <t>TW1</t>
        </is>
      </c>
      <c r="T2" s="47" t="inlineStr">
        <is>
          <t>TW2</t>
        </is>
      </c>
      <c r="U2" s="47" t="inlineStr">
        <is>
          <t>TW3</t>
        </is>
      </c>
      <c r="V2" s="49" t="inlineStr">
        <is>
          <t>TW4</t>
        </is>
      </c>
      <c r="W2" s="45" t="inlineStr">
        <is>
          <t>Bulan Berjalan</t>
        </is>
      </c>
      <c r="X2" s="45" t="inlineStr">
        <is>
          <t>TW1</t>
        </is>
      </c>
      <c r="Y2" s="47" t="inlineStr">
        <is>
          <t>TW2</t>
        </is>
      </c>
      <c r="Z2" s="47" t="inlineStr">
        <is>
          <t>TW3</t>
        </is>
      </c>
      <c r="AA2" s="47" t="inlineStr">
        <is>
          <t>TW4</t>
        </is>
      </c>
    </row>
    <row r="3" ht="14.25" customHeight="1" s="53">
      <c r="A3" s="50">
        <f t="array" ref="A3">SUMPRODUCT(
  (Puskesmas!$E:$E=TRUE)*
  (Puskesmas!$F:$F=TRUE)*
  (Puskesmas!G:G&lt;&gt;"")
)</f>
        <v/>
      </c>
      <c r="B3" s="51">
        <f t="array" ref="B3">SUMPRODUCT(
  (Puskesmas!$E:$E=TRUE)*
  (Puskesmas!$F:$F=TRUE)*
  (Puskesmas!H:H&lt;&gt;"")
)</f>
        <v/>
      </c>
      <c r="C3" s="50">
        <f t="array" ref="C3">SUMPRODUCT(
  (Puskesmas!$E:$E=TRUE)*
  (Puskesmas!$F:$F=TRUE)*
  (Puskesmas!I:I&lt;&gt;"")
)</f>
        <v/>
      </c>
      <c r="D3" s="50">
        <f t="array" ref="D3">SUMPRODUCT(
  (Puskesmas!$E:$E=TRUE)*
  (Puskesmas!$F:$F=TRUE)*
  (Puskesmas!J:J&lt;&gt;"")
)</f>
        <v/>
      </c>
      <c r="E3" s="50">
        <f t="array" ref="E3">SUMPRODUCT(
  (Puskesmas!$E:$E=TRUE)*
  (Puskesmas!$F:$F=TRUE)*
  (Puskesmas!K:K&lt;&gt;"")
)</f>
        <v/>
      </c>
      <c r="F3" s="50">
        <f t="array" ref="F3">SUMPRODUCT(
  (Puskesmas!$E:$E=TRUE)*
  (Puskesmas!$F:$F=TRUE)*
  (Puskesmas!L:L&lt;&gt;"")
)</f>
        <v/>
      </c>
      <c r="G3" s="50">
        <f t="array" ref="G3">SUMPRODUCT(
  (Puskesmas!$E:$E=TRUE)*
  (Puskesmas!$F:$F=TRUE)*
  (Puskesmas!M:M&lt;&gt;"")
)</f>
        <v/>
      </c>
      <c r="H3" s="50">
        <f t="array" ref="H3">SUMPRODUCT(
  (Puskesmas!$E:$E=TRUE)*
  (Puskesmas!$F:$F=TRUE)*
  (Puskesmas!N:N&lt;&gt;"")
)</f>
        <v/>
      </c>
      <c r="I3" s="50">
        <f t="array" ref="I3">SUMPRODUCT(
  (Puskesmas!$E:$E=TRUE)*
  (Puskesmas!$F:$F=TRUE)*
  (Puskesmas!O:O&lt;&gt;"")
)</f>
        <v/>
      </c>
      <c r="J3" s="50">
        <f t="array" ref="J3">SUMPRODUCT(
  (Puskesmas!$E:$E=TRUE)*
  (Puskesmas!$F:$F=TRUE)*
  (Puskesmas!P:P&lt;&gt;"")
)</f>
        <v/>
      </c>
      <c r="K3" s="50">
        <f t="array" ref="K3">SUMPRODUCT(
  (Puskesmas!$E:$E=TRUE)*
  (Puskesmas!$F:$F=TRUE)*
  (Puskesmas!Q:Q&lt;&gt;"")
)</f>
        <v/>
      </c>
      <c r="L3" s="50">
        <f t="array" ref="L3">SUMPRODUCT(
  (Puskesmas!$E:$E=TRUE)*
  (Puskesmas!$F:$F=TRUE)*
  (Puskesmas!R:R&lt;&gt;"")
)</f>
        <v/>
      </c>
      <c r="M3" s="31">
        <f t="array" ref="M3">SUMPRODUCT(--(CLEAN(TRIM(Puskesmas!S:S))="Terkendali"))</f>
        <v/>
      </c>
      <c r="N3" s="31">
        <f t="array" ref="N3">SUMPRODUCT(--(CLEAN(TRIM(Puskesmas!T:T))="Terkendali"))</f>
        <v/>
      </c>
      <c r="O3" s="31">
        <f t="array" ref="O3">SUMPRODUCT(--(CLEAN(TRIM(Puskesmas!U:U))="Terkendali"))</f>
        <v/>
      </c>
      <c r="P3" s="31">
        <f t="array" ref="P3">SUMPRODUCT(--(CLEAN(TRIM(Puskesmas!V:V))="Terkendali"))</f>
        <v/>
      </c>
      <c r="Q3" s="31">
        <f t="array" ref="Q3">SUMPRODUCT(--(CLEAN(TRIM(Puskesmas!W:W))="Terkendali"))</f>
        <v/>
      </c>
      <c r="R3" s="52">
        <f t="array" ref="R3">SUMPRODUCT(
  --(CLEAN(TRIM(Puskesmas!S:S))="Terkendali"),
  --(Puskesmas!$E:$E=TRUE)
)</f>
        <v/>
      </c>
      <c r="S3" s="52">
        <f t="array" ref="S3">SUMPRODUCT(
  --(CLEAN(TRIM(Puskesmas!T:T))="Terkendali"),
  --(Puskesmas!$E:$E=TRUE)
)</f>
        <v/>
      </c>
      <c r="T3" s="52">
        <f t="array" ref="T3">SUMPRODUCT(
  --(CLEAN(TRIM(Puskesmas!U:U))="Terkendali"),
  --(Puskesmas!$E:$E=TRUE)
)</f>
        <v/>
      </c>
      <c r="U3" s="52">
        <f t="array" ref="U3">SUMPRODUCT(
  --(CLEAN(TRIM(Puskesmas!V:V))="Terkendali"),
  --(Puskesmas!$E:$E=TRUE)
)</f>
        <v/>
      </c>
      <c r="V3" s="52">
        <f t="array" ref="V3">SUMPRODUCT(
  --(CLEAN(TRIM(Puskesmas!W:W))="Terkendali"),
  --(Puskesmas!$E:$E=TRUE)
)</f>
        <v/>
      </c>
      <c r="W3" s="31">
        <f t="array" ref="W3">SUMPRODUCT(
  --(CLEAN(TRIM(Puskesmas!S:S))="Terkendali"),
  --(Puskesmas!$E:$E=FALSE)
)</f>
        <v/>
      </c>
      <c r="X3" s="31">
        <f t="array" ref="X3">SUMPRODUCT(
  --(CLEAN(TRIM(Puskesmas!T:T))="Terkendali"),
  --(Puskesmas!$E:$E=FALSE)
)</f>
        <v/>
      </c>
      <c r="Y3" s="31">
        <f t="array" ref="Y3">SUMPRODUCT(
  --(CLEAN(TRIM(Puskesmas!U:U))="Terkendali"),
  --(Puskesmas!$E:$E=FALSE)
)</f>
        <v/>
      </c>
      <c r="Z3" s="31">
        <f t="array" ref="Z3">SUMPRODUCT(
  --(CLEAN(TRIM(Puskesmas!V:V))="Terkendali"),
  --(Puskesmas!$E:$E=FALSE)
)</f>
        <v/>
      </c>
      <c r="AA3" s="31">
        <f t="array" ref="AA3">SUMPRODUCT(
  --(CLEAN(TRIM(Puskesmas!W:W))="Terkendali"),
  --(Puskesmas!$E:$E=FALSE)
)</f>
        <v/>
      </c>
    </row>
    <row r="4" ht="14.25" customHeight="1" s="53">
      <c r="A4" s="35" t="n"/>
      <c r="Q4" s="2" t="n"/>
    </row>
    <row r="5" ht="14.25" customHeight="1" s="53"/>
    <row r="6" ht="14.25" customHeight="1" s="53"/>
    <row r="7" ht="14.25" customHeight="1" s="53"/>
    <row r="8" ht="14.25" customHeight="1" s="53"/>
    <row r="9" ht="14.25" customHeight="1" s="53"/>
    <row r="10" ht="14.25" customHeight="1" s="53"/>
    <row r="11" ht="14.25" customHeight="1" s="53"/>
    <row r="12" ht="14.25" customHeight="1" s="53"/>
    <row r="13" ht="14.25" customHeight="1" s="53"/>
    <row r="14" ht="14.25" customHeight="1" s="53"/>
    <row r="15" ht="14.25" customHeight="1" s="53"/>
    <row r="16" ht="14.25" customHeight="1" s="53"/>
    <row r="17" ht="14.25" customHeight="1" s="53"/>
    <row r="18" ht="14.25" customHeight="1" s="53"/>
    <row r="19" ht="14.25" customHeight="1" s="53"/>
    <row r="20" ht="14.25" customHeight="1" s="53"/>
    <row r="21" ht="14.25" customHeight="1" s="53"/>
    <row r="22" ht="14.25" customHeight="1" s="53"/>
    <row r="23" ht="14.25" customHeight="1" s="53"/>
    <row r="24" ht="14.25" customHeight="1" s="53"/>
    <row r="25" ht="14.25" customHeight="1" s="53"/>
    <row r="26" ht="14.25" customHeight="1" s="53"/>
    <row r="27" ht="14.25" customHeight="1" s="53"/>
    <row r="28" ht="14.25" customHeight="1" s="53"/>
    <row r="29" ht="14.25" customHeight="1" s="53"/>
    <row r="30" ht="14.25" customHeight="1" s="53"/>
    <row r="31" ht="14.25" customHeight="1" s="53"/>
    <row r="32" ht="14.25" customHeight="1" s="53"/>
    <row r="33" ht="14.25" customHeight="1" s="53"/>
    <row r="34" ht="14.25" customHeight="1" s="53"/>
    <row r="35" ht="14.25" customHeight="1" s="53"/>
    <row r="36" ht="14.25" customHeight="1" s="53"/>
    <row r="37" ht="14.25" customHeight="1" s="53"/>
    <row r="38" ht="14.25" customHeight="1" s="53"/>
    <row r="39" ht="14.25" customHeight="1" s="53"/>
    <row r="40" ht="14.25" customHeight="1" s="53"/>
    <row r="41" ht="14.25" customHeight="1" s="53"/>
    <row r="42" ht="14.25" customHeight="1" s="53"/>
    <row r="43" ht="14.25" customHeight="1" s="53"/>
    <row r="44" ht="14.25" customHeight="1" s="53"/>
    <row r="45" ht="14.25" customHeight="1" s="53"/>
    <row r="46" ht="14.25" customHeight="1" s="53"/>
    <row r="47" ht="14.25" customHeight="1" s="53"/>
    <row r="48" ht="14.25" customHeight="1" s="53"/>
    <row r="49" ht="14.25" customHeight="1" s="53"/>
    <row r="50" ht="14.25" customHeight="1" s="53"/>
    <row r="51" ht="14.25" customHeight="1" s="53"/>
    <row r="52" ht="14.25" customHeight="1" s="53"/>
    <row r="53" ht="14.25" customHeight="1" s="53"/>
    <row r="54" ht="14.25" customHeight="1" s="53"/>
    <row r="55" ht="14.25" customHeight="1" s="53"/>
    <row r="56" ht="14.25" customHeight="1" s="53"/>
    <row r="57" ht="14.25" customHeight="1" s="53"/>
    <row r="58" ht="14.25" customHeight="1" s="53"/>
    <row r="59" ht="14.25" customHeight="1" s="53"/>
    <row r="60" ht="14.25" customHeight="1" s="53"/>
    <row r="61" ht="14.25" customHeight="1" s="53"/>
    <row r="62" ht="14.25" customHeight="1" s="53"/>
    <row r="63" ht="14.25" customHeight="1" s="53"/>
    <row r="64" ht="14.25" customHeight="1" s="53"/>
    <row r="65" ht="14.25" customHeight="1" s="53"/>
    <row r="66" ht="14.25" customHeight="1" s="53"/>
    <row r="67" ht="14.25" customHeight="1" s="53"/>
    <row r="68" ht="14.25" customHeight="1" s="53"/>
    <row r="69" ht="14.25" customHeight="1" s="53"/>
    <row r="70" ht="14.25" customHeight="1" s="53"/>
    <row r="71" ht="14.25" customHeight="1" s="53"/>
    <row r="72" ht="14.25" customHeight="1" s="53"/>
    <row r="73" ht="14.25" customHeight="1" s="53"/>
    <row r="74" ht="14.25" customHeight="1" s="53"/>
    <row r="75" ht="14.25" customHeight="1" s="53"/>
    <row r="76" ht="14.25" customHeight="1" s="53"/>
    <row r="77" ht="14.25" customHeight="1" s="53"/>
    <row r="78" ht="14.25" customHeight="1" s="53"/>
    <row r="79" ht="14.25" customHeight="1" s="53"/>
    <row r="80" ht="14.25" customHeight="1" s="53"/>
    <row r="81" ht="14.25" customHeight="1" s="53"/>
    <row r="82" ht="14.25" customHeight="1" s="53"/>
    <row r="83" ht="14.25" customHeight="1" s="53"/>
    <row r="84" ht="14.25" customHeight="1" s="53"/>
    <row r="85" ht="14.25" customHeight="1" s="53"/>
    <row r="86" ht="14.25" customHeight="1" s="53"/>
    <row r="87" ht="14.25" customHeight="1" s="53"/>
    <row r="88" ht="14.25" customHeight="1" s="53"/>
    <row r="89" ht="14.25" customHeight="1" s="53"/>
    <row r="90" ht="14.25" customHeight="1" s="53"/>
    <row r="91" ht="14.25" customHeight="1" s="53"/>
    <row r="92" ht="14.25" customHeight="1" s="53"/>
    <row r="93" ht="14.25" customHeight="1" s="53"/>
    <row r="94" ht="14.25" customHeight="1" s="53"/>
    <row r="95" ht="14.25" customHeight="1" s="53"/>
    <row r="96" ht="14.25" customHeight="1" s="53"/>
    <row r="97" ht="14.25" customHeight="1" s="53"/>
    <row r="98" ht="14.25" customHeight="1" s="53"/>
    <row r="99" ht="14.25" customHeight="1" s="53"/>
    <row r="100" ht="14.25" customHeight="1" s="53"/>
    <row r="101" ht="14.25" customHeight="1" s="53"/>
    <row r="102" ht="14.25" customHeight="1" s="53"/>
    <row r="103" ht="14.25" customHeight="1" s="53"/>
    <row r="104" ht="14.25" customHeight="1" s="53"/>
    <row r="105" ht="14.25" customHeight="1" s="53"/>
    <row r="106" ht="14.25" customHeight="1" s="53"/>
    <row r="107" ht="14.25" customHeight="1" s="53"/>
    <row r="108" ht="14.25" customHeight="1" s="53"/>
    <row r="109" ht="14.25" customHeight="1" s="53"/>
    <row r="110" ht="14.25" customHeight="1" s="53"/>
    <row r="111" ht="14.25" customHeight="1" s="53"/>
    <row r="112" ht="14.25" customHeight="1" s="53"/>
    <row r="113" ht="14.25" customHeight="1" s="53"/>
    <row r="114" ht="14.25" customHeight="1" s="53"/>
    <row r="115" ht="14.25" customHeight="1" s="53"/>
    <row r="116" ht="14.25" customHeight="1" s="53"/>
    <row r="117" ht="14.25" customHeight="1" s="53"/>
    <row r="118" ht="14.25" customHeight="1" s="53"/>
    <row r="119" ht="14.25" customHeight="1" s="53"/>
    <row r="120" ht="14.25" customHeight="1" s="53"/>
    <row r="121" ht="14.25" customHeight="1" s="53"/>
    <row r="122" ht="14.25" customHeight="1" s="53"/>
    <row r="123" ht="14.25" customHeight="1" s="53"/>
    <row r="124" ht="14.25" customHeight="1" s="53"/>
    <row r="125" ht="14.25" customHeight="1" s="53"/>
    <row r="126" ht="14.25" customHeight="1" s="53"/>
    <row r="127" ht="14.25" customHeight="1" s="53"/>
    <row r="128" ht="14.25" customHeight="1" s="53"/>
    <row r="129" ht="14.25" customHeight="1" s="53"/>
    <row r="130" ht="14.25" customHeight="1" s="53"/>
    <row r="131" ht="14.25" customHeight="1" s="53"/>
    <row r="132" ht="14.25" customHeight="1" s="53"/>
    <row r="133" ht="14.25" customHeight="1" s="53"/>
    <row r="134" ht="14.25" customHeight="1" s="53"/>
    <row r="135" ht="14.25" customHeight="1" s="53"/>
    <row r="136" ht="14.25" customHeight="1" s="53"/>
    <row r="137" ht="14.25" customHeight="1" s="53"/>
    <row r="138" ht="14.25" customHeight="1" s="53"/>
    <row r="139" ht="14.25" customHeight="1" s="53"/>
    <row r="140" ht="14.25" customHeight="1" s="53"/>
    <row r="141" ht="14.25" customHeight="1" s="53"/>
    <row r="142" ht="14.25" customHeight="1" s="53"/>
    <row r="143" ht="14.25" customHeight="1" s="53"/>
    <row r="144" ht="14.25" customHeight="1" s="53"/>
    <row r="145" ht="14.25" customHeight="1" s="53"/>
    <row r="146" ht="14.25" customHeight="1" s="53"/>
    <row r="147" ht="14.25" customHeight="1" s="53"/>
    <row r="148" ht="14.25" customHeight="1" s="53"/>
    <row r="149" ht="14.25" customHeight="1" s="53"/>
    <row r="150" ht="14.25" customHeight="1" s="53"/>
    <row r="151" ht="14.25" customHeight="1" s="53"/>
    <row r="152" ht="14.25" customHeight="1" s="53"/>
    <row r="153" ht="14.25" customHeight="1" s="53"/>
    <row r="154" ht="14.25" customHeight="1" s="53"/>
    <row r="155" ht="14.25" customHeight="1" s="53"/>
    <row r="156" ht="14.25" customHeight="1" s="53"/>
    <row r="157" ht="14.25" customHeight="1" s="53"/>
    <row r="158" ht="14.25" customHeight="1" s="53"/>
    <row r="159" ht="14.25" customHeight="1" s="53"/>
    <row r="160" ht="14.25" customHeight="1" s="53"/>
    <row r="161" ht="14.25" customHeight="1" s="53"/>
    <row r="162" ht="14.25" customHeight="1" s="53"/>
    <row r="163" ht="14.25" customHeight="1" s="53"/>
    <row r="164" ht="14.25" customHeight="1" s="53"/>
    <row r="165" ht="14.25" customHeight="1" s="53"/>
    <row r="166" ht="14.25" customHeight="1" s="53"/>
    <row r="167" ht="14.25" customHeight="1" s="53"/>
    <row r="168" ht="14.25" customHeight="1" s="53"/>
    <row r="169" ht="14.25" customHeight="1" s="53"/>
    <row r="170" ht="14.25" customHeight="1" s="53"/>
    <row r="171" ht="14.25" customHeight="1" s="53"/>
    <row r="172" ht="14.25" customHeight="1" s="53"/>
    <row r="173" ht="14.25" customHeight="1" s="53"/>
    <row r="174" ht="14.25" customHeight="1" s="53"/>
    <row r="175" ht="14.25" customHeight="1" s="53"/>
    <row r="176" ht="14.25" customHeight="1" s="53"/>
    <row r="177" ht="14.25" customHeight="1" s="53"/>
    <row r="178" ht="14.25" customHeight="1" s="53"/>
    <row r="179" ht="14.25" customHeight="1" s="53"/>
    <row r="180" ht="14.25" customHeight="1" s="53"/>
    <row r="181" ht="14.25" customHeight="1" s="53"/>
    <row r="182" ht="14.25" customHeight="1" s="53"/>
    <row r="183" ht="14.25" customHeight="1" s="53"/>
    <row r="184" ht="14.25" customHeight="1" s="53"/>
    <row r="185" ht="14.25" customHeight="1" s="53"/>
    <row r="186" ht="14.25" customHeight="1" s="53"/>
    <row r="187" ht="14.25" customHeight="1" s="53"/>
    <row r="188" ht="14.25" customHeight="1" s="53"/>
    <row r="189" ht="14.25" customHeight="1" s="53"/>
    <row r="190" ht="14.25" customHeight="1" s="53"/>
    <row r="191" ht="14.25" customHeight="1" s="53"/>
    <row r="192" ht="14.25" customHeight="1" s="53"/>
    <row r="193" ht="14.25" customHeight="1" s="53"/>
    <row r="194" ht="14.25" customHeight="1" s="53"/>
    <row r="195" ht="14.25" customHeight="1" s="53"/>
    <row r="196" ht="14.25" customHeight="1" s="53"/>
    <row r="197" ht="14.25" customHeight="1" s="53"/>
    <row r="198" ht="14.25" customHeight="1" s="53"/>
    <row r="199" ht="14.25" customHeight="1" s="53"/>
    <row r="200" ht="14.25" customHeight="1" s="53"/>
    <row r="201" ht="14.25" customHeight="1" s="53"/>
    <row r="202" ht="14.25" customHeight="1" s="53"/>
    <row r="203" ht="14.25" customHeight="1" s="53"/>
    <row r="204" ht="14.25" customHeight="1" s="53"/>
    <row r="205" ht="14.25" customHeight="1" s="53"/>
    <row r="206" ht="14.25" customHeight="1" s="53"/>
    <row r="207" ht="14.25" customHeight="1" s="53"/>
    <row r="208" ht="14.25" customHeight="1" s="53"/>
    <row r="209" ht="14.25" customHeight="1" s="53"/>
    <row r="210" ht="14.25" customHeight="1" s="53"/>
    <row r="211" ht="14.25" customHeight="1" s="53"/>
    <row r="212" ht="14.25" customHeight="1" s="53"/>
    <row r="213" ht="14.25" customHeight="1" s="53"/>
    <row r="214" ht="14.25" customHeight="1" s="53"/>
    <row r="215" ht="14.25" customHeight="1" s="53"/>
    <row r="216" ht="14.25" customHeight="1" s="53"/>
    <row r="217" ht="14.25" customHeight="1" s="53"/>
    <row r="218" ht="14.25" customHeight="1" s="53"/>
    <row r="219" ht="14.25" customHeight="1" s="53"/>
    <row r="220" ht="14.25" customHeight="1" s="53"/>
    <row r="221" ht="14.25" customHeight="1" s="53"/>
    <row r="222" ht="14.25" customHeight="1" s="53"/>
    <row r="223" ht="14.25" customHeight="1" s="53"/>
    <row r="224" ht="14.25" customHeight="1" s="53"/>
    <row r="225" ht="14.25" customHeight="1" s="53"/>
    <row r="226" ht="14.25" customHeight="1" s="53"/>
    <row r="227" ht="14.25" customHeight="1" s="53"/>
    <row r="228" ht="14.25" customHeight="1" s="53"/>
    <row r="229" ht="14.25" customHeight="1" s="53"/>
    <row r="230" ht="14.25" customHeight="1" s="53"/>
    <row r="231" ht="14.25" customHeight="1" s="53"/>
    <row r="232" ht="14.25" customHeight="1" s="53"/>
    <row r="233" ht="14.25" customHeight="1" s="53"/>
    <row r="234" ht="14.25" customHeight="1" s="53"/>
    <row r="235" ht="14.25" customHeight="1" s="53"/>
    <row r="236" ht="14.25" customHeight="1" s="53"/>
    <row r="237" ht="14.25" customHeight="1" s="53"/>
    <row r="238" ht="14.25" customHeight="1" s="53"/>
    <row r="239" ht="14.25" customHeight="1" s="53"/>
    <row r="240" ht="14.25" customHeight="1" s="53"/>
    <row r="241" ht="14.25" customHeight="1" s="53"/>
    <row r="242" ht="14.25" customHeight="1" s="53"/>
    <row r="243" ht="14.25" customHeight="1" s="53"/>
    <row r="244" ht="14.25" customHeight="1" s="53"/>
    <row r="245" ht="14.25" customHeight="1" s="53"/>
    <row r="246" ht="14.25" customHeight="1" s="53"/>
    <row r="247" ht="14.25" customHeight="1" s="53"/>
    <row r="248" ht="14.25" customHeight="1" s="53"/>
    <row r="249" ht="14.25" customHeight="1" s="53"/>
    <row r="250" ht="14.25" customHeight="1" s="53"/>
    <row r="251" ht="14.25" customHeight="1" s="53"/>
    <row r="252" ht="14.25" customHeight="1" s="53"/>
    <row r="253" ht="14.25" customHeight="1" s="53"/>
    <row r="254" ht="14.25" customHeight="1" s="53"/>
    <row r="255" ht="14.25" customHeight="1" s="53"/>
    <row r="256" ht="14.25" customHeight="1" s="53"/>
    <row r="257" ht="14.25" customHeight="1" s="53"/>
    <row r="258" ht="14.25" customHeight="1" s="53"/>
    <row r="259" ht="14.25" customHeight="1" s="53"/>
    <row r="260" ht="14.25" customHeight="1" s="53"/>
    <row r="261" ht="14.25" customHeight="1" s="53"/>
    <row r="262" ht="14.25" customHeight="1" s="53"/>
    <row r="263" ht="14.25" customHeight="1" s="53"/>
    <row r="264" ht="14.25" customHeight="1" s="53"/>
    <row r="265" ht="14.25" customHeight="1" s="53"/>
    <row r="266" ht="14.25" customHeight="1" s="53"/>
    <row r="267" ht="14.25" customHeight="1" s="53"/>
    <row r="268" ht="14.25" customHeight="1" s="53"/>
    <row r="269" ht="14.25" customHeight="1" s="53"/>
    <row r="270" ht="14.25" customHeight="1" s="53"/>
    <row r="271" ht="14.25" customHeight="1" s="53"/>
    <row r="272" ht="14.25" customHeight="1" s="53"/>
    <row r="273" ht="14.25" customHeight="1" s="53"/>
    <row r="274" ht="14.25" customHeight="1" s="53"/>
    <row r="275" ht="14.25" customHeight="1" s="53"/>
    <row r="276" ht="14.25" customHeight="1" s="53"/>
    <row r="277" ht="14.25" customHeight="1" s="53"/>
    <row r="278" ht="14.25" customHeight="1" s="53"/>
    <row r="279" ht="14.25" customHeight="1" s="53"/>
    <row r="280" ht="14.25" customHeight="1" s="53"/>
    <row r="281" ht="14.25" customHeight="1" s="53"/>
    <row r="282" ht="14.25" customHeight="1" s="53"/>
    <row r="283" ht="14.25" customHeight="1" s="53"/>
    <row r="284" ht="14.25" customHeight="1" s="53"/>
    <row r="285" ht="14.25" customHeight="1" s="53"/>
    <row r="286" ht="14.25" customHeight="1" s="53"/>
    <row r="287" ht="14.25" customHeight="1" s="53"/>
    <row r="288" ht="14.25" customHeight="1" s="53"/>
    <row r="289" ht="14.25" customHeight="1" s="53"/>
    <row r="290" ht="14.25" customHeight="1" s="53"/>
    <row r="291" ht="14.25" customHeight="1" s="53"/>
    <row r="292" ht="14.25" customHeight="1" s="53"/>
    <row r="293" ht="14.25" customHeight="1" s="53"/>
    <row r="294" ht="14.25" customHeight="1" s="53"/>
    <row r="295" ht="14.25" customHeight="1" s="53"/>
    <row r="296" ht="14.25" customHeight="1" s="53"/>
    <row r="297" ht="14.25" customHeight="1" s="53"/>
    <row r="298" ht="14.25" customHeight="1" s="53"/>
    <row r="299" ht="14.25" customHeight="1" s="53"/>
    <row r="300" ht="14.25" customHeight="1" s="53"/>
    <row r="301" ht="14.25" customHeight="1" s="53"/>
    <row r="302" ht="14.25" customHeight="1" s="53"/>
    <row r="303" ht="14.25" customHeight="1" s="53"/>
    <row r="304" ht="14.25" customHeight="1" s="53"/>
    <row r="305" ht="14.25" customHeight="1" s="53"/>
    <row r="306" ht="14.25" customHeight="1" s="53"/>
    <row r="307" ht="14.25" customHeight="1" s="53"/>
    <row r="308" ht="14.25" customHeight="1" s="53"/>
    <row r="309" ht="14.25" customHeight="1" s="53"/>
    <row r="310" ht="14.25" customHeight="1" s="53"/>
    <row r="311" ht="14.25" customHeight="1" s="53"/>
    <row r="312" ht="14.25" customHeight="1" s="53"/>
    <row r="313" ht="14.25" customHeight="1" s="53"/>
    <row r="314" ht="14.25" customHeight="1" s="53"/>
    <row r="315" ht="14.25" customHeight="1" s="53"/>
    <row r="316" ht="14.25" customHeight="1" s="53"/>
    <row r="317" ht="14.25" customHeight="1" s="53"/>
    <row r="318" ht="14.25" customHeight="1" s="53"/>
    <row r="319" ht="14.25" customHeight="1" s="53"/>
    <row r="320" ht="14.25" customHeight="1" s="53"/>
    <row r="321" ht="14.25" customHeight="1" s="53"/>
    <row r="322" ht="14.25" customHeight="1" s="53"/>
    <row r="323" ht="14.25" customHeight="1" s="53"/>
    <row r="324" ht="14.25" customHeight="1" s="53"/>
    <row r="325" ht="14.25" customHeight="1" s="53"/>
    <row r="326" ht="14.25" customHeight="1" s="53"/>
    <row r="327" ht="14.25" customHeight="1" s="53"/>
    <row r="328" ht="14.25" customHeight="1" s="53"/>
    <row r="329" ht="14.25" customHeight="1" s="53"/>
    <row r="330" ht="14.25" customHeight="1" s="53"/>
    <row r="331" ht="14.25" customHeight="1" s="53"/>
    <row r="332" ht="14.25" customHeight="1" s="53"/>
    <row r="333" ht="14.25" customHeight="1" s="53"/>
    <row r="334" ht="14.25" customHeight="1" s="53"/>
    <row r="335" ht="14.25" customHeight="1" s="53"/>
    <row r="336" ht="14.25" customHeight="1" s="53"/>
    <row r="337" ht="14.25" customHeight="1" s="53"/>
    <row r="338" ht="14.25" customHeight="1" s="53"/>
    <row r="339" ht="14.25" customHeight="1" s="53"/>
    <row r="340" ht="14.25" customHeight="1" s="53"/>
    <row r="341" ht="14.25" customHeight="1" s="53"/>
    <row r="342" ht="14.25" customHeight="1" s="53"/>
    <row r="343" ht="14.25" customHeight="1" s="53"/>
    <row r="344" ht="14.25" customHeight="1" s="53"/>
    <row r="345" ht="14.25" customHeight="1" s="53"/>
    <row r="346" ht="14.25" customHeight="1" s="53"/>
    <row r="347" ht="14.25" customHeight="1" s="53"/>
    <row r="348" ht="14.25" customHeight="1" s="53"/>
    <row r="349" ht="14.25" customHeight="1" s="53"/>
    <row r="350" ht="14.25" customHeight="1" s="53"/>
    <row r="351" ht="14.25" customHeight="1" s="53"/>
    <row r="352" ht="14.25" customHeight="1" s="53"/>
    <row r="353" ht="14.25" customHeight="1" s="53"/>
    <row r="354" ht="14.25" customHeight="1" s="53"/>
    <row r="355" ht="14.25" customHeight="1" s="53"/>
    <row r="356" ht="14.25" customHeight="1" s="53"/>
    <row r="357" ht="14.25" customHeight="1" s="53"/>
    <row r="358" ht="14.25" customHeight="1" s="53"/>
    <row r="359" ht="14.25" customHeight="1" s="53"/>
    <row r="360" ht="14.25" customHeight="1" s="53"/>
    <row r="361" ht="14.25" customHeight="1" s="53"/>
    <row r="362" ht="14.25" customHeight="1" s="53"/>
    <row r="363" ht="14.25" customHeight="1" s="53"/>
    <row r="364" ht="14.25" customHeight="1" s="53"/>
    <row r="365" ht="14.25" customHeight="1" s="53"/>
    <row r="366" ht="14.25" customHeight="1" s="53"/>
    <row r="367" ht="14.25" customHeight="1" s="53"/>
    <row r="368" ht="14.25" customHeight="1" s="53"/>
    <row r="369" ht="14.25" customHeight="1" s="53"/>
    <row r="370" ht="14.25" customHeight="1" s="53"/>
    <row r="371" ht="14.25" customHeight="1" s="53"/>
    <row r="372" ht="14.25" customHeight="1" s="53"/>
    <row r="373" ht="14.25" customHeight="1" s="53"/>
    <row r="374" ht="14.25" customHeight="1" s="53"/>
    <row r="375" ht="14.25" customHeight="1" s="53"/>
    <row r="376" ht="14.25" customHeight="1" s="53"/>
    <row r="377" ht="14.25" customHeight="1" s="53"/>
    <row r="378" ht="14.25" customHeight="1" s="53"/>
    <row r="379" ht="14.25" customHeight="1" s="53"/>
    <row r="380" ht="14.25" customHeight="1" s="53"/>
    <row r="381" ht="14.25" customHeight="1" s="53"/>
    <row r="382" ht="14.25" customHeight="1" s="53"/>
    <row r="383" ht="14.25" customHeight="1" s="53"/>
    <row r="384" ht="14.25" customHeight="1" s="53"/>
    <row r="385" ht="14.25" customHeight="1" s="53"/>
    <row r="386" ht="14.25" customHeight="1" s="53"/>
    <row r="387" ht="14.25" customHeight="1" s="53"/>
    <row r="388" ht="14.25" customHeight="1" s="53"/>
    <row r="389" ht="14.25" customHeight="1" s="53"/>
    <row r="390" ht="14.25" customHeight="1" s="53"/>
    <row r="391" ht="14.25" customHeight="1" s="53"/>
    <row r="392" ht="14.25" customHeight="1" s="53"/>
    <row r="393" ht="14.25" customHeight="1" s="53"/>
    <row r="394" ht="14.25" customHeight="1" s="53"/>
    <row r="395" ht="14.25" customHeight="1" s="53"/>
    <row r="396" ht="14.25" customHeight="1" s="53"/>
    <row r="397" ht="14.25" customHeight="1" s="53"/>
    <row r="398" ht="14.25" customHeight="1" s="53"/>
    <row r="399" ht="14.25" customHeight="1" s="53"/>
    <row r="400" ht="14.25" customHeight="1" s="53"/>
    <row r="401" ht="14.25" customHeight="1" s="53"/>
    <row r="402" ht="14.25" customHeight="1" s="53"/>
    <row r="403" ht="14.25" customHeight="1" s="53"/>
    <row r="404" ht="14.25" customHeight="1" s="53"/>
    <row r="405" ht="14.25" customHeight="1" s="53"/>
    <row r="406" ht="14.25" customHeight="1" s="53"/>
    <row r="407" ht="14.25" customHeight="1" s="53"/>
    <row r="408" ht="14.25" customHeight="1" s="53"/>
    <row r="409" ht="14.25" customHeight="1" s="53"/>
    <row r="410" ht="14.25" customHeight="1" s="53"/>
    <row r="411" ht="14.25" customHeight="1" s="53"/>
    <row r="412" ht="14.25" customHeight="1" s="53"/>
    <row r="413" ht="14.25" customHeight="1" s="53"/>
    <row r="414" ht="14.25" customHeight="1" s="53"/>
    <row r="415" ht="14.25" customHeight="1" s="53"/>
    <row r="416" ht="14.25" customHeight="1" s="53"/>
    <row r="417" ht="14.25" customHeight="1" s="53"/>
    <row r="418" ht="14.25" customHeight="1" s="53"/>
    <row r="419" ht="14.25" customHeight="1" s="53"/>
    <row r="420" ht="14.25" customHeight="1" s="53"/>
    <row r="421" ht="14.25" customHeight="1" s="53"/>
    <row r="422" ht="14.25" customHeight="1" s="53"/>
    <row r="423" ht="14.25" customHeight="1" s="53"/>
    <row r="424" ht="14.25" customHeight="1" s="53"/>
    <row r="425" ht="14.25" customHeight="1" s="53"/>
    <row r="426" ht="14.25" customHeight="1" s="53"/>
    <row r="427" ht="14.25" customHeight="1" s="53"/>
    <row r="428" ht="14.25" customHeight="1" s="53"/>
    <row r="429" ht="14.25" customHeight="1" s="53"/>
    <row r="430" ht="14.25" customHeight="1" s="53"/>
    <row r="431" ht="14.25" customHeight="1" s="53"/>
    <row r="432" ht="14.25" customHeight="1" s="53"/>
    <row r="433" ht="14.25" customHeight="1" s="53"/>
    <row r="434" ht="14.25" customHeight="1" s="53"/>
    <row r="435" ht="14.25" customHeight="1" s="53"/>
    <row r="436" ht="14.25" customHeight="1" s="53"/>
    <row r="437" ht="14.25" customHeight="1" s="53"/>
    <row r="438" ht="14.25" customHeight="1" s="53"/>
    <row r="439" ht="14.25" customHeight="1" s="53"/>
    <row r="440" ht="14.25" customHeight="1" s="53"/>
    <row r="441" ht="14.25" customHeight="1" s="53"/>
    <row r="442" ht="14.25" customHeight="1" s="53"/>
    <row r="443" ht="14.25" customHeight="1" s="53"/>
    <row r="444" ht="14.25" customHeight="1" s="53"/>
    <row r="445" ht="14.25" customHeight="1" s="53"/>
    <row r="446" ht="14.25" customHeight="1" s="53"/>
    <row r="447" ht="14.25" customHeight="1" s="53"/>
    <row r="448" ht="14.25" customHeight="1" s="53"/>
    <row r="449" ht="14.25" customHeight="1" s="53"/>
    <row r="450" ht="14.25" customHeight="1" s="53"/>
    <row r="451" ht="14.25" customHeight="1" s="53"/>
    <row r="452" ht="14.25" customHeight="1" s="53"/>
    <row r="453" ht="14.25" customHeight="1" s="53"/>
    <row r="454" ht="14.25" customHeight="1" s="53"/>
    <row r="455" ht="14.25" customHeight="1" s="53"/>
    <row r="456" ht="14.25" customHeight="1" s="53"/>
    <row r="457" ht="14.25" customHeight="1" s="53"/>
    <row r="458" ht="14.25" customHeight="1" s="53"/>
    <row r="459" ht="14.25" customHeight="1" s="53"/>
    <row r="460" ht="14.25" customHeight="1" s="53"/>
    <row r="461" ht="14.25" customHeight="1" s="53"/>
    <row r="462" ht="14.25" customHeight="1" s="53"/>
    <row r="463" ht="14.25" customHeight="1" s="53"/>
    <row r="464" ht="14.25" customHeight="1" s="53"/>
    <row r="465" ht="14.25" customHeight="1" s="53"/>
    <row r="466" ht="14.25" customHeight="1" s="53"/>
    <row r="467" ht="14.25" customHeight="1" s="53"/>
    <row r="468" ht="14.25" customHeight="1" s="53"/>
    <row r="469" ht="14.25" customHeight="1" s="53"/>
    <row r="470" ht="14.25" customHeight="1" s="53"/>
    <row r="471" ht="14.25" customHeight="1" s="53"/>
    <row r="472" ht="14.25" customHeight="1" s="53"/>
    <row r="473" ht="14.25" customHeight="1" s="53"/>
    <row r="474" ht="14.25" customHeight="1" s="53"/>
    <row r="475" ht="14.25" customHeight="1" s="53"/>
    <row r="476" ht="14.25" customHeight="1" s="53"/>
    <row r="477" ht="14.25" customHeight="1" s="53"/>
    <row r="478" ht="14.25" customHeight="1" s="53"/>
    <row r="479" ht="14.25" customHeight="1" s="53"/>
    <row r="480" ht="14.25" customHeight="1" s="53"/>
    <row r="481" ht="14.25" customHeight="1" s="53"/>
    <row r="482" ht="14.25" customHeight="1" s="53"/>
    <row r="483" ht="14.25" customHeight="1" s="53"/>
    <row r="484" ht="14.25" customHeight="1" s="53"/>
    <row r="485" ht="14.25" customHeight="1" s="53"/>
    <row r="486" ht="14.25" customHeight="1" s="53"/>
    <row r="487" ht="14.25" customHeight="1" s="53"/>
    <row r="488" ht="14.25" customHeight="1" s="53"/>
    <row r="489" ht="14.25" customHeight="1" s="53"/>
    <row r="490" ht="14.25" customHeight="1" s="53"/>
    <row r="491" ht="14.25" customHeight="1" s="53"/>
    <row r="492" ht="14.25" customHeight="1" s="53"/>
    <row r="493" ht="14.25" customHeight="1" s="53"/>
    <row r="494" ht="14.25" customHeight="1" s="53"/>
    <row r="495" ht="14.25" customHeight="1" s="53"/>
    <row r="496" ht="14.25" customHeight="1" s="53"/>
    <row r="497" ht="14.25" customHeight="1" s="53"/>
    <row r="498" ht="14.25" customHeight="1" s="53"/>
    <row r="499" ht="14.25" customHeight="1" s="53"/>
    <row r="500" ht="14.25" customHeight="1" s="53"/>
    <row r="501" ht="14.25" customHeight="1" s="53"/>
    <row r="502" ht="14.25" customHeight="1" s="53"/>
    <row r="503" ht="14.25" customHeight="1" s="53"/>
    <row r="504" ht="14.25" customHeight="1" s="53"/>
    <row r="505" ht="14.25" customHeight="1" s="53"/>
    <row r="506" ht="14.25" customHeight="1" s="53"/>
    <row r="507" ht="14.25" customHeight="1" s="53"/>
    <row r="508" ht="14.25" customHeight="1" s="53"/>
    <row r="509" ht="14.25" customHeight="1" s="53"/>
    <row r="510" ht="14.25" customHeight="1" s="53"/>
    <row r="511" ht="14.25" customHeight="1" s="53"/>
    <row r="512" ht="14.25" customHeight="1" s="53"/>
    <row r="513" ht="14.25" customHeight="1" s="53"/>
    <row r="514" ht="14.25" customHeight="1" s="53"/>
    <row r="515" ht="14.25" customHeight="1" s="53"/>
    <row r="516" ht="14.25" customHeight="1" s="53"/>
    <row r="517" ht="14.25" customHeight="1" s="53"/>
    <row r="518" ht="14.25" customHeight="1" s="53"/>
    <row r="519" ht="14.25" customHeight="1" s="53"/>
    <row r="520" ht="14.25" customHeight="1" s="53"/>
    <row r="521" ht="14.25" customHeight="1" s="53"/>
    <row r="522" ht="14.25" customHeight="1" s="53"/>
    <row r="523" ht="14.25" customHeight="1" s="53"/>
    <row r="524" ht="14.25" customHeight="1" s="53"/>
    <row r="525" ht="14.25" customHeight="1" s="53"/>
    <row r="526" ht="14.25" customHeight="1" s="53"/>
    <row r="527" ht="14.25" customHeight="1" s="53"/>
    <row r="528" ht="14.25" customHeight="1" s="53"/>
    <row r="529" ht="14.25" customHeight="1" s="53"/>
    <row r="530" ht="14.25" customHeight="1" s="53"/>
    <row r="531" ht="14.25" customHeight="1" s="53"/>
    <row r="532" ht="14.25" customHeight="1" s="53"/>
    <row r="533" ht="14.25" customHeight="1" s="53"/>
    <row r="534" ht="14.25" customHeight="1" s="53"/>
    <row r="535" ht="14.25" customHeight="1" s="53"/>
    <row r="536" ht="14.25" customHeight="1" s="53"/>
    <row r="537" ht="14.25" customHeight="1" s="53"/>
    <row r="538" ht="14.25" customHeight="1" s="53"/>
    <row r="539" ht="14.25" customHeight="1" s="53"/>
    <row r="540" ht="14.25" customHeight="1" s="53"/>
    <row r="541" ht="14.25" customHeight="1" s="53"/>
    <row r="542" ht="14.25" customHeight="1" s="53"/>
    <row r="543" ht="14.25" customHeight="1" s="53"/>
    <row r="544" ht="14.25" customHeight="1" s="53"/>
    <row r="545" ht="14.25" customHeight="1" s="53"/>
    <row r="546" ht="14.25" customHeight="1" s="53"/>
    <row r="547" ht="14.25" customHeight="1" s="53"/>
    <row r="548" ht="14.25" customHeight="1" s="53"/>
    <row r="549" ht="14.25" customHeight="1" s="53"/>
    <row r="550" ht="14.25" customHeight="1" s="53"/>
    <row r="551" ht="14.25" customHeight="1" s="53"/>
    <row r="552" ht="14.25" customHeight="1" s="53"/>
    <row r="553" ht="14.25" customHeight="1" s="53"/>
    <row r="554" ht="14.25" customHeight="1" s="53"/>
    <row r="555" ht="14.25" customHeight="1" s="53"/>
    <row r="556" ht="14.25" customHeight="1" s="53"/>
    <row r="557" ht="14.25" customHeight="1" s="53"/>
    <row r="558" ht="14.25" customHeight="1" s="53"/>
    <row r="559" ht="14.25" customHeight="1" s="53"/>
    <row r="560" ht="14.25" customHeight="1" s="53"/>
    <row r="561" ht="14.25" customHeight="1" s="53"/>
    <row r="562" ht="14.25" customHeight="1" s="53"/>
    <row r="563" ht="14.25" customHeight="1" s="53"/>
    <row r="564" ht="14.25" customHeight="1" s="53"/>
    <row r="565" ht="14.25" customHeight="1" s="53"/>
    <row r="566" ht="14.25" customHeight="1" s="53"/>
    <row r="567" ht="14.25" customHeight="1" s="53"/>
    <row r="568" ht="14.25" customHeight="1" s="53"/>
    <row r="569" ht="14.25" customHeight="1" s="53"/>
    <row r="570" ht="14.25" customHeight="1" s="53"/>
    <row r="571" ht="14.25" customHeight="1" s="53"/>
    <row r="572" ht="14.25" customHeight="1" s="53"/>
    <row r="573" ht="14.25" customHeight="1" s="53"/>
    <row r="574" ht="14.25" customHeight="1" s="53"/>
    <row r="575" ht="14.25" customHeight="1" s="53"/>
    <row r="576" ht="14.25" customHeight="1" s="53"/>
    <row r="577" ht="14.25" customHeight="1" s="53"/>
    <row r="578" ht="14.25" customHeight="1" s="53"/>
    <row r="579" ht="14.25" customHeight="1" s="53"/>
    <row r="580" ht="14.25" customHeight="1" s="53"/>
    <row r="581" ht="14.25" customHeight="1" s="53"/>
    <row r="582" ht="14.25" customHeight="1" s="53"/>
    <row r="583" ht="14.25" customHeight="1" s="53"/>
    <row r="584" ht="14.25" customHeight="1" s="53"/>
    <row r="585" ht="14.25" customHeight="1" s="53"/>
    <row r="586" ht="14.25" customHeight="1" s="53"/>
    <row r="587" ht="14.25" customHeight="1" s="53"/>
    <row r="588" ht="14.25" customHeight="1" s="53"/>
    <row r="589" ht="14.25" customHeight="1" s="53"/>
    <row r="590" ht="14.25" customHeight="1" s="53"/>
    <row r="591" ht="14.25" customHeight="1" s="53"/>
    <row r="592" ht="14.25" customHeight="1" s="53"/>
    <row r="593" ht="14.25" customHeight="1" s="53"/>
    <row r="594" ht="14.25" customHeight="1" s="53"/>
    <row r="595" ht="14.25" customHeight="1" s="53"/>
    <row r="596" ht="14.25" customHeight="1" s="53"/>
    <row r="597" ht="14.25" customHeight="1" s="53"/>
    <row r="598" ht="14.25" customHeight="1" s="53"/>
    <row r="599" ht="14.25" customHeight="1" s="53"/>
    <row r="600" ht="14.25" customHeight="1" s="53"/>
    <row r="601" ht="14.25" customHeight="1" s="53"/>
    <row r="602" ht="14.25" customHeight="1" s="53"/>
    <row r="603" ht="14.25" customHeight="1" s="53"/>
    <row r="604" ht="14.25" customHeight="1" s="53"/>
    <row r="605" ht="14.25" customHeight="1" s="53"/>
    <row r="606" ht="14.25" customHeight="1" s="53"/>
    <row r="607" ht="14.25" customHeight="1" s="53"/>
    <row r="608" ht="14.25" customHeight="1" s="53"/>
    <row r="609" ht="14.25" customHeight="1" s="53"/>
    <row r="610" ht="14.25" customHeight="1" s="53"/>
    <row r="611" ht="14.25" customHeight="1" s="53"/>
    <row r="612" ht="14.25" customHeight="1" s="53"/>
    <row r="613" ht="14.25" customHeight="1" s="53"/>
    <row r="614" ht="14.25" customHeight="1" s="53"/>
    <row r="615" ht="14.25" customHeight="1" s="53"/>
    <row r="616" ht="14.25" customHeight="1" s="53"/>
    <row r="617" ht="14.25" customHeight="1" s="53"/>
    <row r="618" ht="14.25" customHeight="1" s="53"/>
    <row r="619" ht="14.25" customHeight="1" s="53"/>
    <row r="620" ht="14.25" customHeight="1" s="53"/>
    <row r="621" ht="14.25" customHeight="1" s="53"/>
    <row r="622" ht="14.25" customHeight="1" s="53"/>
    <row r="623" ht="14.25" customHeight="1" s="53"/>
    <row r="624" ht="14.25" customHeight="1" s="53"/>
    <row r="625" ht="14.25" customHeight="1" s="53"/>
    <row r="626" ht="14.25" customHeight="1" s="53"/>
    <row r="627" ht="14.25" customHeight="1" s="53"/>
    <row r="628" ht="14.25" customHeight="1" s="53"/>
    <row r="629" ht="14.25" customHeight="1" s="53"/>
    <row r="630" ht="14.25" customHeight="1" s="53"/>
    <row r="631" ht="14.25" customHeight="1" s="53"/>
    <row r="632" ht="14.25" customHeight="1" s="53"/>
    <row r="633" ht="14.25" customHeight="1" s="53"/>
    <row r="634" ht="14.25" customHeight="1" s="53"/>
    <row r="635" ht="14.25" customHeight="1" s="53"/>
    <row r="636" ht="14.25" customHeight="1" s="53"/>
    <row r="637" ht="14.25" customHeight="1" s="53"/>
    <row r="638" ht="14.25" customHeight="1" s="53"/>
    <row r="639" ht="14.25" customHeight="1" s="53"/>
    <row r="640" ht="14.25" customHeight="1" s="53"/>
    <row r="641" ht="14.25" customHeight="1" s="53"/>
    <row r="642" ht="14.25" customHeight="1" s="53"/>
    <row r="643" ht="14.25" customHeight="1" s="53"/>
    <row r="644" ht="14.25" customHeight="1" s="53"/>
    <row r="645" ht="14.25" customHeight="1" s="53"/>
    <row r="646" ht="14.25" customHeight="1" s="53"/>
    <row r="647" ht="14.25" customHeight="1" s="53"/>
    <row r="648" ht="14.25" customHeight="1" s="53"/>
    <row r="649" ht="14.25" customHeight="1" s="53"/>
    <row r="650" ht="14.25" customHeight="1" s="53"/>
    <row r="651" ht="14.25" customHeight="1" s="53"/>
    <row r="652" ht="14.25" customHeight="1" s="53"/>
    <row r="653" ht="14.25" customHeight="1" s="53"/>
    <row r="654" ht="14.25" customHeight="1" s="53"/>
    <row r="655" ht="14.25" customHeight="1" s="53"/>
    <row r="656" ht="14.25" customHeight="1" s="53"/>
    <row r="657" ht="14.25" customHeight="1" s="53"/>
    <row r="658" ht="14.25" customHeight="1" s="53"/>
    <row r="659" ht="14.25" customHeight="1" s="53"/>
    <row r="660" ht="14.25" customHeight="1" s="53"/>
    <row r="661" ht="14.25" customHeight="1" s="53"/>
    <row r="662" ht="14.25" customHeight="1" s="53"/>
    <row r="663" ht="14.25" customHeight="1" s="53"/>
    <row r="664" ht="14.25" customHeight="1" s="53"/>
    <row r="665" ht="14.25" customHeight="1" s="53"/>
    <row r="666" ht="14.25" customHeight="1" s="53"/>
    <row r="667" ht="14.25" customHeight="1" s="53"/>
    <row r="668" ht="14.25" customHeight="1" s="53"/>
    <row r="669" ht="14.25" customHeight="1" s="53"/>
    <row r="670" ht="14.25" customHeight="1" s="53"/>
    <row r="671" ht="14.25" customHeight="1" s="53"/>
    <row r="672" ht="14.25" customHeight="1" s="53"/>
    <row r="673" ht="14.25" customHeight="1" s="53"/>
    <row r="674" ht="14.25" customHeight="1" s="53"/>
    <row r="675" ht="14.25" customHeight="1" s="53"/>
    <row r="676" ht="14.25" customHeight="1" s="53"/>
    <row r="677" ht="14.25" customHeight="1" s="53"/>
    <row r="678" ht="14.25" customHeight="1" s="53"/>
    <row r="679" ht="14.25" customHeight="1" s="53"/>
    <row r="680" ht="14.25" customHeight="1" s="53"/>
    <row r="681" ht="14.25" customHeight="1" s="53"/>
    <row r="682" ht="14.25" customHeight="1" s="53"/>
    <row r="683" ht="14.25" customHeight="1" s="53"/>
    <row r="684" ht="14.25" customHeight="1" s="53"/>
    <row r="685" ht="14.25" customHeight="1" s="53"/>
    <row r="686" ht="14.25" customHeight="1" s="53"/>
    <row r="687" ht="14.25" customHeight="1" s="53"/>
    <row r="688" ht="14.25" customHeight="1" s="53"/>
    <row r="689" ht="14.25" customHeight="1" s="53"/>
    <row r="690" ht="14.25" customHeight="1" s="53"/>
    <row r="691" ht="14.25" customHeight="1" s="53"/>
    <row r="692" ht="14.25" customHeight="1" s="53"/>
    <row r="693" ht="14.25" customHeight="1" s="53"/>
    <row r="694" ht="14.25" customHeight="1" s="53"/>
    <row r="695" ht="14.25" customHeight="1" s="53"/>
    <row r="696" ht="14.25" customHeight="1" s="53"/>
    <row r="697" ht="14.25" customHeight="1" s="53"/>
    <row r="698" ht="14.25" customHeight="1" s="53"/>
    <row r="699" ht="14.25" customHeight="1" s="53"/>
    <row r="700" ht="14.25" customHeight="1" s="53"/>
    <row r="701" ht="14.25" customHeight="1" s="53"/>
    <row r="702" ht="14.25" customHeight="1" s="53"/>
    <row r="703" ht="14.25" customHeight="1" s="53"/>
    <row r="704" ht="14.25" customHeight="1" s="53"/>
    <row r="705" ht="14.25" customHeight="1" s="53"/>
    <row r="706" ht="14.25" customHeight="1" s="53"/>
    <row r="707" ht="14.25" customHeight="1" s="53"/>
    <row r="708" ht="14.25" customHeight="1" s="53"/>
    <row r="709" ht="14.25" customHeight="1" s="53"/>
    <row r="710" ht="14.25" customHeight="1" s="53"/>
    <row r="711" ht="14.25" customHeight="1" s="53"/>
    <row r="712" ht="14.25" customHeight="1" s="53"/>
    <row r="713" ht="14.25" customHeight="1" s="53"/>
    <row r="714" ht="14.25" customHeight="1" s="53"/>
    <row r="715" ht="14.25" customHeight="1" s="53"/>
    <row r="716" ht="14.25" customHeight="1" s="53"/>
    <row r="717" ht="14.25" customHeight="1" s="53"/>
    <row r="718" ht="14.25" customHeight="1" s="53"/>
    <row r="719" ht="14.25" customHeight="1" s="53"/>
    <row r="720" ht="14.25" customHeight="1" s="53"/>
    <row r="721" ht="14.25" customHeight="1" s="53"/>
    <row r="722" ht="14.25" customHeight="1" s="53"/>
    <row r="723" ht="14.25" customHeight="1" s="53"/>
    <row r="724" ht="14.25" customHeight="1" s="53"/>
    <row r="725" ht="14.25" customHeight="1" s="53"/>
    <row r="726" ht="14.25" customHeight="1" s="53"/>
    <row r="727" ht="14.25" customHeight="1" s="53"/>
    <row r="728" ht="14.25" customHeight="1" s="53"/>
    <row r="729" ht="14.25" customHeight="1" s="53"/>
    <row r="730" ht="14.25" customHeight="1" s="53"/>
    <row r="731" ht="14.25" customHeight="1" s="53"/>
    <row r="732" ht="14.25" customHeight="1" s="53"/>
    <row r="733" ht="14.25" customHeight="1" s="53"/>
    <row r="734" ht="14.25" customHeight="1" s="53"/>
    <row r="735" ht="14.25" customHeight="1" s="53"/>
    <row r="736" ht="14.25" customHeight="1" s="53"/>
    <row r="737" ht="14.25" customHeight="1" s="53"/>
    <row r="738" ht="14.25" customHeight="1" s="53"/>
    <row r="739" ht="14.25" customHeight="1" s="53"/>
    <row r="740" ht="14.25" customHeight="1" s="53"/>
    <row r="741" ht="14.25" customHeight="1" s="53"/>
    <row r="742" ht="14.25" customHeight="1" s="53"/>
    <row r="743" ht="14.25" customHeight="1" s="53"/>
    <row r="744" ht="14.25" customHeight="1" s="53"/>
    <row r="745" ht="14.25" customHeight="1" s="53"/>
    <row r="746" ht="14.25" customHeight="1" s="53"/>
    <row r="747" ht="14.25" customHeight="1" s="53"/>
    <row r="748" ht="14.25" customHeight="1" s="53"/>
    <row r="749" ht="14.25" customHeight="1" s="53"/>
    <row r="750" ht="14.25" customHeight="1" s="53"/>
    <row r="751" ht="14.25" customHeight="1" s="53"/>
    <row r="752" ht="14.25" customHeight="1" s="53"/>
    <row r="753" ht="14.25" customHeight="1" s="53"/>
    <row r="754" ht="14.25" customHeight="1" s="53"/>
    <row r="755" ht="14.25" customHeight="1" s="53"/>
    <row r="756" ht="14.25" customHeight="1" s="53"/>
    <row r="757" ht="14.25" customHeight="1" s="53"/>
    <row r="758" ht="14.25" customHeight="1" s="53"/>
    <row r="759" ht="14.25" customHeight="1" s="53"/>
    <row r="760" ht="14.25" customHeight="1" s="53"/>
    <row r="761" ht="14.25" customHeight="1" s="53"/>
    <row r="762" ht="14.25" customHeight="1" s="53"/>
    <row r="763" ht="14.25" customHeight="1" s="53"/>
    <row r="764" ht="14.25" customHeight="1" s="53"/>
    <row r="765" ht="14.25" customHeight="1" s="53"/>
    <row r="766" ht="14.25" customHeight="1" s="53"/>
    <row r="767" ht="14.25" customHeight="1" s="53"/>
    <row r="768" ht="14.25" customHeight="1" s="53"/>
    <row r="769" ht="14.25" customHeight="1" s="53"/>
    <row r="770" ht="14.25" customHeight="1" s="53"/>
    <row r="771" ht="14.25" customHeight="1" s="53"/>
    <row r="772" ht="14.25" customHeight="1" s="53"/>
    <row r="773" ht="14.25" customHeight="1" s="53"/>
    <row r="774" ht="14.25" customHeight="1" s="53"/>
    <row r="775" ht="14.25" customHeight="1" s="53"/>
    <row r="776" ht="14.25" customHeight="1" s="53"/>
    <row r="777" ht="14.25" customHeight="1" s="53"/>
    <row r="778" ht="14.25" customHeight="1" s="53"/>
    <row r="779" ht="14.25" customHeight="1" s="53"/>
    <row r="780" ht="14.25" customHeight="1" s="53"/>
    <row r="781" ht="14.25" customHeight="1" s="53"/>
    <row r="782" ht="14.25" customHeight="1" s="53"/>
    <row r="783" ht="14.25" customHeight="1" s="53"/>
    <row r="784" ht="14.25" customHeight="1" s="53"/>
    <row r="785" ht="14.25" customHeight="1" s="53"/>
    <row r="786" ht="14.25" customHeight="1" s="53"/>
    <row r="787" ht="14.25" customHeight="1" s="53"/>
    <row r="788" ht="14.25" customHeight="1" s="53"/>
    <row r="789" ht="14.25" customHeight="1" s="53"/>
    <row r="790" ht="14.25" customHeight="1" s="53"/>
    <row r="791" ht="14.25" customHeight="1" s="53"/>
    <row r="792" ht="14.25" customHeight="1" s="53"/>
    <row r="793" ht="14.25" customHeight="1" s="53"/>
    <row r="794" ht="14.25" customHeight="1" s="53"/>
    <row r="795" ht="14.25" customHeight="1" s="53"/>
    <row r="796" ht="14.25" customHeight="1" s="53"/>
    <row r="797" ht="14.25" customHeight="1" s="53"/>
    <row r="798" ht="14.25" customHeight="1" s="53"/>
    <row r="799" ht="14.25" customHeight="1" s="53"/>
    <row r="800" ht="14.25" customHeight="1" s="53"/>
    <row r="801" ht="14.25" customHeight="1" s="53"/>
    <row r="802" ht="14.25" customHeight="1" s="53"/>
    <row r="803" ht="14.25" customHeight="1" s="53"/>
    <row r="804" ht="14.25" customHeight="1" s="53"/>
    <row r="805" ht="14.25" customHeight="1" s="53"/>
    <row r="806" ht="14.25" customHeight="1" s="53"/>
    <row r="807" ht="14.25" customHeight="1" s="53"/>
    <row r="808" ht="14.25" customHeight="1" s="53"/>
    <row r="809" ht="14.25" customHeight="1" s="53"/>
    <row r="810" ht="14.25" customHeight="1" s="53"/>
    <row r="811" ht="14.25" customHeight="1" s="53"/>
    <row r="812" ht="14.25" customHeight="1" s="53"/>
    <row r="813" ht="14.25" customHeight="1" s="53"/>
    <row r="814" ht="14.25" customHeight="1" s="53"/>
    <row r="815" ht="14.25" customHeight="1" s="53"/>
    <row r="816" ht="14.25" customHeight="1" s="53"/>
    <row r="817" ht="14.25" customHeight="1" s="53"/>
    <row r="818" ht="14.25" customHeight="1" s="53"/>
    <row r="819" ht="14.25" customHeight="1" s="53"/>
    <row r="820" ht="14.25" customHeight="1" s="53"/>
    <row r="821" ht="14.25" customHeight="1" s="53"/>
    <row r="822" ht="14.25" customHeight="1" s="53"/>
    <row r="823" ht="14.25" customHeight="1" s="53"/>
    <row r="824" ht="14.25" customHeight="1" s="53"/>
    <row r="825" ht="14.25" customHeight="1" s="53"/>
    <row r="826" ht="14.25" customHeight="1" s="53"/>
    <row r="827" ht="14.25" customHeight="1" s="53"/>
    <row r="828" ht="14.25" customHeight="1" s="53"/>
    <row r="829" ht="14.25" customHeight="1" s="53"/>
    <row r="830" ht="14.25" customHeight="1" s="53"/>
    <row r="831" ht="14.25" customHeight="1" s="53"/>
    <row r="832" ht="14.25" customHeight="1" s="53"/>
    <row r="833" ht="14.25" customHeight="1" s="53"/>
    <row r="834" ht="14.25" customHeight="1" s="53"/>
    <row r="835" ht="14.25" customHeight="1" s="53"/>
    <row r="836" ht="14.25" customHeight="1" s="53"/>
    <row r="837" ht="14.25" customHeight="1" s="53"/>
    <row r="838" ht="14.25" customHeight="1" s="53"/>
    <row r="839" ht="14.25" customHeight="1" s="53"/>
    <row r="840" ht="14.25" customHeight="1" s="53"/>
    <row r="841" ht="14.25" customHeight="1" s="53"/>
    <row r="842" ht="14.25" customHeight="1" s="53"/>
    <row r="843" ht="14.25" customHeight="1" s="53"/>
    <row r="844" ht="14.25" customHeight="1" s="53"/>
    <row r="845" ht="14.25" customHeight="1" s="53"/>
    <row r="846" ht="14.25" customHeight="1" s="53"/>
    <row r="847" ht="14.25" customHeight="1" s="53"/>
    <row r="848" ht="14.25" customHeight="1" s="53"/>
    <row r="849" ht="14.25" customHeight="1" s="53"/>
    <row r="850" ht="14.25" customHeight="1" s="53"/>
    <row r="851" ht="14.25" customHeight="1" s="53"/>
    <row r="852" ht="14.25" customHeight="1" s="53"/>
    <row r="853" ht="14.25" customHeight="1" s="53"/>
    <row r="854" ht="14.25" customHeight="1" s="53"/>
    <row r="855" ht="14.25" customHeight="1" s="53"/>
    <row r="856" ht="14.25" customHeight="1" s="53"/>
    <row r="857" ht="14.25" customHeight="1" s="53"/>
    <row r="858" ht="14.25" customHeight="1" s="53"/>
    <row r="859" ht="14.25" customHeight="1" s="53"/>
    <row r="860" ht="14.25" customHeight="1" s="53"/>
    <row r="861" ht="14.25" customHeight="1" s="53"/>
    <row r="862" ht="14.25" customHeight="1" s="53"/>
    <row r="863" ht="14.25" customHeight="1" s="53"/>
    <row r="864" ht="14.25" customHeight="1" s="53"/>
    <row r="865" ht="14.25" customHeight="1" s="53"/>
    <row r="866" ht="14.25" customHeight="1" s="53"/>
    <row r="867" ht="14.25" customHeight="1" s="53"/>
    <row r="868" ht="14.25" customHeight="1" s="53"/>
    <row r="869" ht="14.25" customHeight="1" s="53"/>
    <row r="870" ht="14.25" customHeight="1" s="53"/>
    <row r="871" ht="14.25" customHeight="1" s="53"/>
    <row r="872" ht="14.25" customHeight="1" s="53"/>
    <row r="873" ht="14.25" customHeight="1" s="53"/>
    <row r="874" ht="14.25" customHeight="1" s="53"/>
    <row r="875" ht="14.25" customHeight="1" s="53"/>
    <row r="876" ht="14.25" customHeight="1" s="53"/>
    <row r="877" ht="14.25" customHeight="1" s="53"/>
    <row r="878" ht="14.25" customHeight="1" s="53"/>
    <row r="879" ht="14.25" customHeight="1" s="53"/>
    <row r="880" ht="14.25" customHeight="1" s="53"/>
    <row r="881" ht="14.25" customHeight="1" s="53"/>
    <row r="882" ht="14.25" customHeight="1" s="53"/>
    <row r="883" ht="14.25" customHeight="1" s="53"/>
    <row r="884" ht="14.25" customHeight="1" s="53"/>
    <row r="885" ht="14.25" customHeight="1" s="53"/>
    <row r="886" ht="14.25" customHeight="1" s="53"/>
    <row r="887" ht="14.25" customHeight="1" s="53"/>
    <row r="888" ht="14.25" customHeight="1" s="53"/>
    <row r="889" ht="14.25" customHeight="1" s="53"/>
    <row r="890" ht="14.25" customHeight="1" s="53"/>
    <row r="891" ht="14.25" customHeight="1" s="53"/>
    <row r="892" ht="14.25" customHeight="1" s="53"/>
    <row r="893" ht="14.25" customHeight="1" s="53"/>
    <row r="894" ht="14.25" customHeight="1" s="53"/>
    <row r="895" ht="14.25" customHeight="1" s="53"/>
    <row r="896" ht="14.25" customHeight="1" s="53"/>
    <row r="897" ht="14.25" customHeight="1" s="53"/>
    <row r="898" ht="14.25" customHeight="1" s="53"/>
    <row r="899" ht="14.25" customHeight="1" s="53"/>
    <row r="900" ht="14.25" customHeight="1" s="53"/>
    <row r="901" ht="14.25" customHeight="1" s="53"/>
    <row r="902" ht="14.25" customHeight="1" s="53"/>
    <row r="903" ht="14.25" customHeight="1" s="53"/>
    <row r="904" ht="14.25" customHeight="1" s="53"/>
    <row r="905" ht="14.25" customHeight="1" s="53"/>
    <row r="906" ht="14.25" customHeight="1" s="53"/>
    <row r="907" ht="14.25" customHeight="1" s="53"/>
    <row r="908" ht="14.25" customHeight="1" s="53"/>
    <row r="909" ht="14.25" customHeight="1" s="53"/>
    <row r="910" ht="14.25" customHeight="1" s="53"/>
    <row r="911" ht="14.25" customHeight="1" s="53"/>
    <row r="912" ht="14.25" customHeight="1" s="53"/>
    <row r="913" ht="14.25" customHeight="1" s="53"/>
    <row r="914" ht="14.25" customHeight="1" s="53"/>
    <row r="915" ht="14.25" customHeight="1" s="53"/>
    <row r="916" ht="14.25" customHeight="1" s="53"/>
    <row r="917" ht="14.25" customHeight="1" s="53"/>
    <row r="918" ht="14.25" customHeight="1" s="53"/>
    <row r="919" ht="14.25" customHeight="1" s="53"/>
    <row r="920" ht="14.25" customHeight="1" s="53"/>
    <row r="921" ht="14.25" customHeight="1" s="53"/>
    <row r="922" ht="14.25" customHeight="1" s="53"/>
    <row r="923" ht="14.25" customHeight="1" s="53"/>
    <row r="924" ht="14.25" customHeight="1" s="53"/>
    <row r="925" ht="14.25" customHeight="1" s="53"/>
    <row r="926" ht="14.25" customHeight="1" s="53"/>
    <row r="927" ht="14.25" customHeight="1" s="53"/>
    <row r="928" ht="14.25" customHeight="1" s="53"/>
    <row r="929" ht="14.25" customHeight="1" s="53"/>
    <row r="930" ht="14.25" customHeight="1" s="53"/>
    <row r="931" ht="14.25" customHeight="1" s="53"/>
    <row r="932" ht="14.25" customHeight="1" s="53"/>
    <row r="933" ht="14.25" customHeight="1" s="53"/>
    <row r="934" ht="14.25" customHeight="1" s="53"/>
    <row r="935" ht="14.25" customHeight="1" s="53"/>
    <row r="936" ht="14.25" customHeight="1" s="53"/>
    <row r="937" ht="14.25" customHeight="1" s="53"/>
    <row r="938" ht="14.25" customHeight="1" s="53"/>
    <row r="939" ht="14.25" customHeight="1" s="53"/>
    <row r="940" ht="14.25" customHeight="1" s="53"/>
    <row r="941" ht="14.25" customHeight="1" s="53"/>
    <row r="942" ht="14.25" customHeight="1" s="53"/>
    <row r="943" ht="14.25" customHeight="1" s="53"/>
    <row r="944" ht="14.25" customHeight="1" s="53"/>
    <row r="945" ht="14.25" customHeight="1" s="53"/>
    <row r="946" ht="14.25" customHeight="1" s="53"/>
    <row r="947" ht="14.25" customHeight="1" s="53"/>
    <row r="948" ht="14.25" customHeight="1" s="53"/>
    <row r="949" ht="14.25" customHeight="1" s="53"/>
    <row r="950" ht="14.25" customHeight="1" s="53"/>
    <row r="951" ht="14.25" customHeight="1" s="53"/>
    <row r="952" ht="14.25" customHeight="1" s="53"/>
    <row r="953" ht="14.25" customHeight="1" s="53"/>
    <row r="954" ht="14.25" customHeight="1" s="53"/>
    <row r="955" ht="14.25" customHeight="1" s="53"/>
    <row r="956" ht="14.25" customHeight="1" s="53"/>
    <row r="957" ht="14.25" customHeight="1" s="53"/>
    <row r="958" ht="14.25" customHeight="1" s="53"/>
    <row r="959" ht="14.25" customHeight="1" s="53"/>
    <row r="960" ht="14.25" customHeight="1" s="53"/>
    <row r="961" ht="14.25" customHeight="1" s="53"/>
    <row r="962" ht="14.25" customHeight="1" s="53"/>
    <row r="963" ht="14.25" customHeight="1" s="53"/>
    <row r="964" ht="14.25" customHeight="1" s="53"/>
    <row r="965" ht="14.25" customHeight="1" s="53"/>
    <row r="966" ht="14.25" customHeight="1" s="53"/>
    <row r="967" ht="14.25" customHeight="1" s="53"/>
    <row r="968" ht="14.25" customHeight="1" s="53"/>
    <row r="969" ht="14.25" customHeight="1" s="53"/>
    <row r="970" ht="14.25" customHeight="1" s="53"/>
    <row r="971" ht="14.25" customHeight="1" s="53"/>
    <row r="972" ht="14.25" customHeight="1" s="53"/>
    <row r="973" ht="14.25" customHeight="1" s="53"/>
    <row r="974" ht="14.25" customHeight="1" s="53"/>
    <row r="975" ht="14.25" customHeight="1" s="53"/>
    <row r="976" ht="14.25" customHeight="1" s="53"/>
    <row r="977" ht="14.25" customHeight="1" s="53"/>
    <row r="978" ht="14.25" customHeight="1" s="53"/>
    <row r="979" ht="14.25" customHeight="1" s="53"/>
    <row r="980" ht="14.25" customHeight="1" s="53"/>
    <row r="981" ht="14.25" customHeight="1" s="53"/>
    <row r="982" ht="14.25" customHeight="1" s="53"/>
    <row r="983" ht="14.25" customHeight="1" s="53"/>
    <row r="984" ht="14.25" customHeight="1" s="53"/>
    <row r="985" ht="14.25" customHeight="1" s="53"/>
    <row r="986" ht="14.25" customHeight="1" s="53"/>
    <row r="987" ht="14.25" customHeight="1" s="53"/>
    <row r="988" ht="14.25" customHeight="1" s="53"/>
    <row r="989" ht="14.25" customHeight="1" s="53"/>
    <row r="990" ht="14.25" customHeight="1" s="53"/>
    <row r="991" ht="14.25" customHeight="1" s="53"/>
    <row r="992" ht="14.25" customHeight="1" s="53"/>
    <row r="993" ht="14.25" customHeight="1" s="53"/>
    <row r="994" ht="14.25" customHeight="1" s="53"/>
    <row r="995" ht="14.25" customHeight="1" s="53"/>
    <row r="996" ht="14.25" customHeight="1" s="53"/>
    <row r="997" ht="14.25" customHeight="1" s="53"/>
    <row r="998" ht="14.25" customHeight="1" s="53"/>
    <row r="999" ht="14.25" customHeight="1" s="53"/>
    <row r="1000" ht="14.25" customHeight="1" s="53"/>
  </sheetData>
  <mergeCells count="4">
    <mergeCell ref="R1:V1"/>
    <mergeCell ref="W1:AA1"/>
    <mergeCell ref="M1:Q1"/>
    <mergeCell ref="A1:L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2026-05-21T16:26:45Z</dcterms:created>
  <dcterms:modified xmlns:dcterms="http://purl.org/dc/terms/" xmlns:xsi="http://www.w3.org/2001/XMLSchema-instance" xsi:type="dcterms:W3CDTF">2026-05-21T16:26:50Z</dcterms:modified>
</cp:coreProperties>
</file>