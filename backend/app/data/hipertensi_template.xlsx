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ipertensi - Puskesmas" sheetId="1" state="visible" r:id="rId1"/>
    <sheet xmlns:r="http://schemas.openxmlformats.org/officeDocument/2006/relationships" name="Hipertensi - Re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d&quot;/&quot;mm&quot;/&quot;yyyy"/>
    <numFmt numFmtId="166" formatCode="yyyy"/>
    <numFmt numFmtId="167" formatCode="[$-409]d\-mmm\-yyyy"/>
  </numFmts>
  <fonts count="21">
    <font>
      <name val="Calibri"/>
      <color theme="1"/>
      <sz val="11"/>
      <scheme val="minor"/>
    </font>
    <font>
      <name val="Calibri"/>
      <b val="1"/>
      <color rgb="FF000000"/>
      <sz val="12"/>
    </font>
    <font>
      <name val="Calibri"/>
      <b val="1"/>
      <color rgb="FF000000"/>
      <sz val="16"/>
    </font>
    <font/>
    <font>
      <name val="Calibri"/>
      <b val="1"/>
      <color theme="1"/>
      <sz val="14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cheme val="minor"/>
    </font>
    <font>
      <name val="Calibri"/>
      <b val="1"/>
      <color theme="1"/>
      <sz val="12"/>
    </font>
    <font>
      <name val="Arial"/>
      <b val="1"/>
      <color theme="1"/>
      <sz val="14"/>
    </font>
    <font>
      <name val="Aptos Narrow"/>
      <b val="1"/>
      <color theme="1"/>
      <sz val="14"/>
    </font>
    <font>
      <name val="Aptos Narrow"/>
      <b val="1"/>
      <color theme="1"/>
      <sz val="11"/>
    </font>
    <font>
      <name val="Arial"/>
      <color theme="1"/>
      <sz val="11"/>
    </font>
    <font>
      <name val="Aptos Narrow"/>
      <color rgb="FF000000"/>
      <sz val="7"/>
    </font>
    <font>
      <name val="Aptos Narrow"/>
      <color theme="1"/>
      <sz val="11"/>
    </font>
    <font>
      <name val="Aptos Narrow"/>
      <color theme="1"/>
      <sz val="7"/>
    </font>
    <font>
      <name val="Aptos Narrow"/>
      <b val="1"/>
      <color theme="1"/>
      <sz val="12"/>
    </font>
    <font>
      <name val="Arial"/>
      <b val="1"/>
      <color theme="1"/>
      <sz val="12"/>
    </font>
    <font>
      <name val="Arial"/>
      <color theme="1"/>
    </font>
  </fonts>
  <fills count="8">
    <fill>
      <patternFill/>
    </fill>
    <fill>
      <patternFill patternType="lightGray"/>
    </fill>
    <fill>
      <patternFill patternType="solid">
        <fgColor rgb="FF12A9E0"/>
        <bgColor rgb="FF12A9E0"/>
      </patternFill>
    </fill>
    <fill>
      <patternFill patternType="solid">
        <fgColor rgb="FFBFE8F7"/>
        <bgColor rgb="FFBFE8F7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CFE2F3"/>
        <bgColor rgb="FFCFE2F3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1" fillId="3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3" fillId="0" borderId="7" pivotButton="0" quotePrefix="0" xfId="0"/>
    <xf numFmtId="0" fontId="1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164" fontId="8" fillId="5" borderId="5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5" borderId="5" applyAlignment="1" pivotButton="0" quotePrefix="0" xfId="0">
      <alignment horizontal="left" vertical="center" wrapText="1"/>
    </xf>
    <xf numFmtId="164" fontId="8" fillId="5" borderId="5" applyAlignment="1" pivotButton="0" quotePrefix="0" xfId="0">
      <alignment horizontal="left" vertical="center" wrapText="1"/>
    </xf>
    <xf numFmtId="164" fontId="8" fillId="5" borderId="5" applyAlignment="1" pivotButton="0" quotePrefix="0" xfId="0">
      <alignment horizontal="left" vertical="center" wrapText="1"/>
    </xf>
    <xf numFmtId="0" fontId="9" fillId="0" borderId="5" pivotButton="0" quotePrefix="0" xfId="0"/>
    <xf numFmtId="0" fontId="10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3" fontId="11" fillId="6" borderId="2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3" fontId="13" fillId="6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165" fontId="14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3" fontId="14" fillId="0" borderId="5" applyAlignment="1" pivotButton="0" quotePrefix="0" xfId="0">
      <alignment horizontal="center" vertical="center"/>
    </xf>
    <xf numFmtId="3" fontId="16" fillId="0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/>
    </xf>
    <xf numFmtId="165" fontId="14" fillId="0" borderId="5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3" fontId="14" fillId="0" borderId="5" applyAlignment="1" pivotButton="0" quotePrefix="0" xfId="0">
      <alignment horizontal="center"/>
    </xf>
    <xf numFmtId="3" fontId="16" fillId="0" borderId="5" applyAlignment="1" pivotButton="0" quotePrefix="0" xfId="0">
      <alignment horizontal="center"/>
    </xf>
    <xf numFmtId="3" fontId="14" fillId="0" borderId="5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165" fontId="16" fillId="0" borderId="5" applyAlignment="1" pivotButton="0" quotePrefix="0" xfId="0">
      <alignment horizontal="center"/>
    </xf>
    <xf numFmtId="0" fontId="17" fillId="0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6" fontId="16" fillId="0" borderId="5" applyAlignment="1" pivotButton="0" quotePrefix="0" xfId="0">
      <alignment horizontal="center" vertical="center"/>
    </xf>
    <xf numFmtId="167" fontId="16" fillId="0" borderId="5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6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7" fontId="16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3" fillId="0" borderId="9" pivotButton="0" quotePrefix="0" xfId="0"/>
    <xf numFmtId="0" fontId="3" fillId="0" borderId="10" pivotButton="0" quotePrefix="0" xfId="0"/>
    <xf numFmtId="0" fontId="18" fillId="7" borderId="11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 wrapText="1"/>
    </xf>
    <xf numFmtId="0" fontId="18" fillId="7" borderId="13" applyAlignment="1" pivotButton="0" quotePrefix="0" xfId="0">
      <alignment horizontal="center" vertical="center"/>
    </xf>
    <xf numFmtId="0" fontId="19" fillId="7" borderId="4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 wrapText="1"/>
    </xf>
    <xf numFmtId="0" fontId="16" fillId="0" borderId="5" pivotButton="0" quotePrefix="0" xfId="0"/>
    <xf numFmtId="0" fontId="16" fillId="0" borderId="4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0" pivotButton="0" quotePrefix="0" xfId="0"/>
    <xf numFmtId="0" fontId="1" fillId="2" borderId="5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2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2" borderId="5" applyAlignment="1" pivotButton="0" quotePrefix="0" xfId="0">
      <alignment horizontal="center" vertical="center" wrapText="1"/>
    </xf>
  </cellXfs>
  <cellStyles count="1">
    <cellStyle name="Normal" xfId="0" builtinId="0"/>
  </cellStyles>
  <dxfs count="4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G4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77" min="1" max="1"/>
    <col width="16" customWidth="1" style="77" min="2" max="2"/>
    <col width="22" customWidth="1" style="77" min="3" max="4"/>
    <col width="18" customWidth="1" style="77" min="5" max="6"/>
    <col width="12" customWidth="1" style="77" min="7" max="30"/>
    <col width="22" customWidth="1" style="77" min="31" max="31"/>
    <col width="16" customWidth="1" style="77" min="32" max="47"/>
    <col hidden="1" width="13" customWidth="1" style="77" min="48" max="59"/>
  </cols>
  <sheetData>
    <row r="1" ht="27.75" customHeight="1" s="77">
      <c r="A1" s="78" t="inlineStr">
        <is>
          <t>Nama Puskesmas</t>
        </is>
      </c>
      <c r="B1" s="78" t="inlineStr">
        <is>
          <t>Tahun Pelaporan
*wajib diisi</t>
        </is>
      </c>
      <c r="C1" s="78" t="inlineStr">
        <is>
          <t>Nama Pasien/NIK</t>
        </is>
      </c>
      <c r="D1" s="78" t="inlineStr">
        <is>
          <t>Tanggal Diagnosis (Tgl/Bulan/Tahun)</t>
        </is>
      </c>
      <c r="E1" s="78" t="inlineStr">
        <is>
          <t>Tertatalaksana
(Pemberian Obat)</t>
        </is>
      </c>
      <c r="F1" s="78" t="inlineStr">
        <is>
          <t>Tertatalaksana
(Pemberian Edukasi)</t>
        </is>
      </c>
      <c r="G1" s="79" t="inlineStr">
        <is>
          <t>Pemeriksaan Tekanan Darah per Bulan Kunjungan</t>
        </is>
      </c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  <c r="AA1" s="80" t="n"/>
      <c r="AB1" s="80" t="n"/>
      <c r="AC1" s="80" t="n"/>
      <c r="AD1" s="81" t="n"/>
      <c r="AE1" s="82" t="inlineStr">
        <is>
          <t>Status Kunjungan</t>
        </is>
      </c>
      <c r="AF1" s="80" t="n"/>
      <c r="AG1" s="80" t="n"/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1" t="n"/>
      <c r="AV1" s="28" t="n"/>
      <c r="AW1" s="28" t="n"/>
      <c r="AX1" s="28" t="n"/>
      <c r="AY1" s="28" t="n"/>
      <c r="AZ1" s="28" t="n"/>
      <c r="BA1" s="28" t="n"/>
      <c r="BB1" s="28" t="n"/>
      <c r="BC1" s="28" t="n"/>
      <c r="BD1" s="28" t="n"/>
      <c r="BE1" s="28" t="n"/>
      <c r="BF1" s="28" t="n"/>
      <c r="BG1" s="28" t="n"/>
    </row>
    <row r="2" ht="33.75" customHeight="1" s="77">
      <c r="A2" s="83" t="n"/>
      <c r="B2" s="83" t="n"/>
      <c r="C2" s="83" t="n"/>
      <c r="D2" s="83" t="n"/>
      <c r="E2" s="83" t="n"/>
      <c r="F2" s="83" t="n"/>
      <c r="G2" s="12" t="inlineStr">
        <is>
          <t>Januari</t>
        </is>
      </c>
      <c r="H2" s="81" t="n"/>
      <c r="I2" s="12" t="inlineStr">
        <is>
          <t>Februari</t>
        </is>
      </c>
      <c r="J2" s="81" t="n"/>
      <c r="K2" s="12" t="inlineStr">
        <is>
          <t>Maret</t>
        </is>
      </c>
      <c r="L2" s="81" t="n"/>
      <c r="M2" s="12" t="inlineStr">
        <is>
          <t>April</t>
        </is>
      </c>
      <c r="N2" s="81" t="n"/>
      <c r="O2" s="12" t="inlineStr">
        <is>
          <t>Mei</t>
        </is>
      </c>
      <c r="P2" s="81" t="n"/>
      <c r="Q2" s="12" t="inlineStr">
        <is>
          <t>Juni</t>
        </is>
      </c>
      <c r="R2" s="81" t="n"/>
      <c r="S2" s="12" t="inlineStr">
        <is>
          <t>Juli</t>
        </is>
      </c>
      <c r="T2" s="81" t="n"/>
      <c r="U2" s="12" t="inlineStr">
        <is>
          <t>Agustus</t>
        </is>
      </c>
      <c r="V2" s="81" t="n"/>
      <c r="W2" s="12" t="inlineStr">
        <is>
          <t>September</t>
        </is>
      </c>
      <c r="X2" s="81" t="n"/>
      <c r="Y2" s="12" t="inlineStr">
        <is>
          <t>Oktober</t>
        </is>
      </c>
      <c r="Z2" s="81" t="n"/>
      <c r="AA2" s="12" t="inlineStr">
        <is>
          <t>November</t>
        </is>
      </c>
      <c r="AB2" s="81" t="n"/>
      <c r="AC2" s="12" t="inlineStr">
        <is>
          <t>Desember</t>
        </is>
      </c>
      <c r="AD2" s="81" t="n"/>
      <c r="AE2" s="25" t="inlineStr">
        <is>
          <t>Terkendali Bulan Berjalan</t>
        </is>
      </c>
      <c r="AF2" s="25" t="inlineStr">
        <is>
          <t>Terkendali TW 1</t>
        </is>
      </c>
      <c r="AG2" s="25" t="inlineStr">
        <is>
          <t>Terkendali TW 2</t>
        </is>
      </c>
      <c r="AH2" s="25" t="inlineStr">
        <is>
          <t>Terkendali TW 3</t>
        </is>
      </c>
      <c r="AI2" s="25" t="inlineStr">
        <is>
          <t>Terkendali TW 4</t>
        </is>
      </c>
      <c r="AJ2" s="25" t="inlineStr">
        <is>
          <t>Terkendali Bulan Januari</t>
        </is>
      </c>
      <c r="AK2" s="25" t="inlineStr">
        <is>
          <t>Terkendali Bulan Februari</t>
        </is>
      </c>
      <c r="AL2" s="25" t="inlineStr">
        <is>
          <t>Terkendali Bulan Maret</t>
        </is>
      </c>
      <c r="AM2" s="25" t="inlineStr">
        <is>
          <t>Terkendali Bulan April</t>
        </is>
      </c>
      <c r="AN2" s="25" t="inlineStr">
        <is>
          <t>Terkendali Bulan Mei</t>
        </is>
      </c>
      <c r="AO2" s="25" t="inlineStr">
        <is>
          <t>Terkendali Bulan Juni</t>
        </is>
      </c>
      <c r="AP2" s="25" t="inlineStr">
        <is>
          <t>Terkendali Bulan Juli</t>
        </is>
      </c>
      <c r="AQ2" s="25" t="inlineStr">
        <is>
          <t>Terkendali Bulan Agustus</t>
        </is>
      </c>
      <c r="AR2" s="25" t="inlineStr">
        <is>
          <t>Terkendali Bulan September</t>
        </is>
      </c>
      <c r="AS2" s="25" t="inlineStr">
        <is>
          <t>Terkendali Bulan Oktober</t>
        </is>
      </c>
      <c r="AT2" s="25" t="inlineStr">
        <is>
          <t>Terkendali Bulan November</t>
        </is>
      </c>
      <c r="AU2" s="25" t="inlineStr">
        <is>
          <t>Terkendali Bulan Desember</t>
        </is>
      </c>
      <c r="AV2" s="25" t="inlineStr">
        <is>
          <t>Status Jan</t>
        </is>
      </c>
      <c r="AW2" s="25" t="inlineStr">
        <is>
          <t>Status Feb</t>
        </is>
      </c>
      <c r="AX2" s="25" t="inlineStr">
        <is>
          <t>Status Mar</t>
        </is>
      </c>
      <c r="AY2" s="25" t="inlineStr">
        <is>
          <t>Status Apr</t>
        </is>
      </c>
      <c r="AZ2" s="25" t="inlineStr">
        <is>
          <t>Status Mei</t>
        </is>
      </c>
      <c r="BA2" s="25" t="inlineStr">
        <is>
          <t>Status Jun</t>
        </is>
      </c>
      <c r="BB2" s="25" t="inlineStr">
        <is>
          <t>Status Jul</t>
        </is>
      </c>
      <c r="BC2" s="25" t="inlineStr">
        <is>
          <t>Status Ags</t>
        </is>
      </c>
      <c r="BD2" s="25" t="inlineStr">
        <is>
          <t>Status Sep</t>
        </is>
      </c>
      <c r="BE2" s="25" t="inlineStr">
        <is>
          <t>Status Okt</t>
        </is>
      </c>
      <c r="BF2" s="25" t="inlineStr">
        <is>
          <t>Status Nov</t>
        </is>
      </c>
      <c r="BG2" s="25" t="inlineStr">
        <is>
          <t>Status Des</t>
        </is>
      </c>
    </row>
    <row r="3" ht="24" customHeight="1" s="77">
      <c r="A3" s="84" t="n"/>
      <c r="B3" s="84" t="n"/>
      <c r="C3" s="84" t="n"/>
      <c r="D3" s="84" t="n"/>
      <c r="E3" s="84" t="n"/>
      <c r="F3" s="84" t="n"/>
      <c r="G3" s="12" t="inlineStr">
        <is>
          <t>Sistolik</t>
        </is>
      </c>
      <c r="H3" s="12" t="inlineStr">
        <is>
          <t>Diastolik</t>
        </is>
      </c>
      <c r="I3" s="12" t="inlineStr">
        <is>
          <t>Sistolik</t>
        </is>
      </c>
      <c r="J3" s="12" t="inlineStr">
        <is>
          <t>Diastolik</t>
        </is>
      </c>
      <c r="K3" s="12" t="inlineStr">
        <is>
          <t>Sistolik</t>
        </is>
      </c>
      <c r="L3" s="12" t="inlineStr">
        <is>
          <t>Diastolik</t>
        </is>
      </c>
      <c r="M3" s="12" t="inlineStr">
        <is>
          <t>Sistolik</t>
        </is>
      </c>
      <c r="N3" s="12" t="inlineStr">
        <is>
          <t>Diastolik</t>
        </is>
      </c>
      <c r="O3" s="12" t="inlineStr">
        <is>
          <t>Sistolik</t>
        </is>
      </c>
      <c r="P3" s="12" t="inlineStr">
        <is>
          <t>Diastolik</t>
        </is>
      </c>
      <c r="Q3" s="12" t="inlineStr">
        <is>
          <t>Sistolik</t>
        </is>
      </c>
      <c r="R3" s="12" t="inlineStr">
        <is>
          <t>Diastolik</t>
        </is>
      </c>
      <c r="S3" s="12" t="inlineStr">
        <is>
          <t>Sistolik</t>
        </is>
      </c>
      <c r="T3" s="12" t="inlineStr">
        <is>
          <t>Diastolik</t>
        </is>
      </c>
      <c r="U3" s="12" t="inlineStr">
        <is>
          <t>Sistolik</t>
        </is>
      </c>
      <c r="V3" s="12" t="inlineStr">
        <is>
          <t>Diastolik</t>
        </is>
      </c>
      <c r="W3" s="12" t="inlineStr">
        <is>
          <t>Sistolik</t>
        </is>
      </c>
      <c r="X3" s="12" t="inlineStr">
        <is>
          <t>Diastolik</t>
        </is>
      </c>
      <c r="Y3" s="12" t="inlineStr">
        <is>
          <t>Sistolik</t>
        </is>
      </c>
      <c r="Z3" s="12" t="inlineStr">
        <is>
          <t>Diastolik</t>
        </is>
      </c>
      <c r="AA3" s="12" t="inlineStr">
        <is>
          <t>Sistolik</t>
        </is>
      </c>
      <c r="AB3" s="12" t="inlineStr">
        <is>
          <t>Diastolik</t>
        </is>
      </c>
      <c r="AC3" s="12" t="inlineStr">
        <is>
          <t>Sistolik</t>
        </is>
      </c>
      <c r="AD3" s="12" t="inlineStr">
        <is>
          <t>Diastolik</t>
        </is>
      </c>
      <c r="AE3" s="26" t="inlineStr">
        <is>
          <t>Hasil</t>
        </is>
      </c>
      <c r="AF3" s="26" t="inlineStr">
        <is>
          <t>Hasil</t>
        </is>
      </c>
      <c r="AG3" s="26" t="inlineStr">
        <is>
          <t>Hasil</t>
        </is>
      </c>
      <c r="AH3" s="26" t="inlineStr">
        <is>
          <t>Hasil</t>
        </is>
      </c>
      <c r="AI3" s="26" t="inlineStr">
        <is>
          <t>Hasil</t>
        </is>
      </c>
      <c r="AJ3" s="26" t="inlineStr">
        <is>
          <t>Hasil</t>
        </is>
      </c>
      <c r="AK3" s="26" t="inlineStr">
        <is>
          <t>Hasil</t>
        </is>
      </c>
      <c r="AL3" s="26" t="inlineStr">
        <is>
          <t>Hasil</t>
        </is>
      </c>
      <c r="AM3" s="26" t="inlineStr">
        <is>
          <t>Hasil</t>
        </is>
      </c>
      <c r="AN3" s="26" t="inlineStr">
        <is>
          <t>Hasil</t>
        </is>
      </c>
      <c r="AO3" s="26" t="inlineStr">
        <is>
          <t>Hasil</t>
        </is>
      </c>
      <c r="AP3" s="26" t="inlineStr">
        <is>
          <t>Hasil</t>
        </is>
      </c>
      <c r="AQ3" s="26" t="inlineStr">
        <is>
          <t>Hasil</t>
        </is>
      </c>
      <c r="AR3" s="26" t="inlineStr">
        <is>
          <t>Hasil</t>
        </is>
      </c>
      <c r="AS3" s="26" t="inlineStr">
        <is>
          <t>Hasil</t>
        </is>
      </c>
      <c r="AT3" s="26" t="inlineStr">
        <is>
          <t>Hasil</t>
        </is>
      </c>
      <c r="AU3" s="26" t="inlineStr">
        <is>
          <t>Hasil</t>
        </is>
      </c>
      <c r="AV3" s="26" t="inlineStr">
        <is>
          <t>Hasil</t>
        </is>
      </c>
      <c r="AW3" s="26" t="inlineStr">
        <is>
          <t>Hasil</t>
        </is>
      </c>
      <c r="AX3" s="26" t="inlineStr">
        <is>
          <t>Hasil</t>
        </is>
      </c>
      <c r="AY3" s="26" t="inlineStr">
        <is>
          <t>Hasil</t>
        </is>
      </c>
      <c r="AZ3" s="26" t="inlineStr">
        <is>
          <t>Hasil</t>
        </is>
      </c>
      <c r="BA3" s="26" t="inlineStr">
        <is>
          <t>Hasil</t>
        </is>
      </c>
      <c r="BB3" s="26" t="inlineStr">
        <is>
          <t>Hasil</t>
        </is>
      </c>
      <c r="BC3" s="26" t="inlineStr">
        <is>
          <t>Hasil</t>
        </is>
      </c>
      <c r="BD3" s="26" t="inlineStr">
        <is>
          <t>Hasil</t>
        </is>
      </c>
      <c r="BE3" s="26" t="inlineStr">
        <is>
          <t>Hasil</t>
        </is>
      </c>
      <c r="BF3" s="26" t="inlineStr">
        <is>
          <t>Hasil</t>
        </is>
      </c>
      <c r="BG3" s="26" t="inlineStr">
        <is>
          <t>Hasil</t>
        </is>
      </c>
    </row>
    <row r="4" ht="27" customHeight="1" s="77">
      <c r="A4" s="16" t="n"/>
      <c r="B4" s="16" t="n"/>
      <c r="C4" s="16" t="n"/>
      <c r="D4" s="15" t="n"/>
      <c r="E4" s="16" t="n"/>
      <c r="F4" s="16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28">
        <f t="array" ref="AF4:AF1003">MAP(
  G4:G1003,H4:H1003,I4:I1003,J4:J1003,K4:K1003,L4:L1003,
  D4:D1003,B4:B1003,
  LAMBDA(
    jan_sys,jan_dia,feb_sys,feb_dia,mar_sys,mar_dia,diag,tahun,
    IF(diag="","",
      LET(
        eligible,EOMONTH(diag,3)+1,
        cutoff,DATE(tahun,4,1),
        IF(eligible&gt;=cutoff,"Belum 3 bulan",
          LET(
            sys,CHOOSE(SEQUENCE(1,3),jan_sys,feb_sys,mar_sys),
            dia,CHOOSE(SEQUENCE(1,3),jan_dia,feb_dia,mar_dia),
            bulan,SEQUENCE(1,3),
            tanggal_bulan,DATE(tahun,bulan,1),
            valid,(tanggal_bulan&gt;=eligible)*ISNUMBER(sys)*ISNUMBER(dia),
            terakhir_sys,IFERROR(LOOKUP(2,1/valid,sys),""),
            terakhir_dia,IFERROR(LOOKUP(2,1/valid,dia),""),
            IF(
              OR(terakhir_sys="",terakhir_dia=""),
              "Tidak ada kunjungan",
              IF(
                AND(terakhir_sys&lt;140,terakhir_dia&lt;90),
                "Terkendali",
                "Tidak Terkendali"
              )
            )
          )
        )
      )
    )
  )
)</f>
        <v/>
      </c>
      <c r="AG4" s="28">
        <f t="array" ref="AG4:AG1003">MAP(
  M4:M1003,N4:N1003,O4:O1003,P4:P1003,Q4:Q1003,R4:R1003,
  D4:D1003,B4:B1003,
  LAMBDA(
    apr_sys,apr_dia,mei_sys,mei_dia,jun_sys,jun_dia,diag,tahun,
    IF(diag="","",
      LET(
        eligible,EOMONTH(diag,3)+1,
        cutoff,DATE(tahun,7,1),
        IF(eligible&gt;=cutoff,"Belum 3 bulan",
          LET(
            sys,CHOOSE(SEQUENCE(1,3),apr_sys,mei_sys,jun_sys),
            dia,CHOOSE(SEQUENCE(1,3),apr_dia,mei_dia,jun_dia),
            bulan,SEQUENCE(1,3,4,1),
            tanggal_bulan,DATE(tahun,bulan,1),
            valid,(tanggal_bulan&gt;=eligible)*ISNUMBER(sys)*ISNUMBER(dia),
            terakhir_sys,IFERROR(LOOKUP(2,1/valid,sys),""),
            terakhir_dia,IFERROR(LOOKUP(2,1/valid,dia),""),
            IF(
              OR(terakhir_sys="",terakhir_dia=""),
              "Tidak ada kunjungan",
              IF(
                AND(terakhir_sys&lt;140,terakhir_dia&lt;90),
                "Terkendali",
                "Tidak Terkendali"
              )
            )
          )
        )
      )
    )
  )
)</f>
        <v/>
      </c>
      <c r="AH4" s="28">
        <f t="array" ref="AH4:AH1003">MAP(
  S4:S1003,T4:T1003,U4:U1003,V4:V1003,W4:W1003,X4:X1003,
  D4:D1003,B4:B1003,
  LAMBDA(
    jul_sys,jul_dia,agu_sys,agu_dia,sep_sys,sep_dia,diag,tahun,
    IF(diag="","",
      LET(
        eligible,EOMONTH(diag,3)+1,
        cutoff,DATE(tahun,10,1),
        IF(eligible&gt;=cutoff,"Belum 3 bulan",
          LET(
            sys,CHOOSE(SEQUENCE(1,3),jul_sys,agu_sys,sep_sys),
            dia,CHOOSE(SEQUENCE(1,3),jul_dia,agu_dia,sep_dia),
            bulan,SEQUENCE(1,3,7,1),
            tanggal_bulan,DATE(tahun,bulan,1),
            valid,(tanggal_bulan&gt;=eligible)*ISNUMBER(sys)*ISNUMBER(dia),
            terakhir_sys,IFERROR(LOOKUP(2,1/valid,sys),""),
            terakhir_dia,IFERROR(LOOKUP(2,1/valid,dia),""),
            IF(
              OR(terakhir_sys="",terakhir_dia=""),
              "Tidak ada kunjungan",
              IF(
                AND(terakhir_sys&lt;140,terakhir_dia&lt;90),
                "Terkendali",
                "Tidak Terkendali"
              )
            )
          )
        )
      )
    )
  )
)</f>
        <v/>
      </c>
      <c r="AI4" s="28">
        <f t="array" ref="AI4:AI1003">MAP(
  Y4:Y1003,Z4:Z1003,AA4:AA1003,AB4:AB1003,AC4:AC1003,AD4:AD1003,
  D4:D1003,B4:B1003,
  LAMBDA(
    okt_sys,okt_dia,nov_sys,nov_dia,des_sys,des_dia,diag,tahun,
    IF(diag="","",
      LET(
        eligible,EOMONTH(diag,3)+1,
        cutoff,DATE(tahun,12,1),
        IF(eligible&gt;=cutoff,"Belum 3 bulan",
          LET(
            sys,CHOOSE(SEQUENCE(1,3),okt_sys,nov_sys,des_sys),
            dia,CHOOSE(SEQUENCE(1,3),okt_dia,nov_dia,des_dia),
            bulan,SEQUENCE(1,3,10,1),
            tanggal_bulan,DATE(tahun,bulan,1),
            valid,(tanggal_bulan&gt;=eligible)*ISNUMBER(sys)*ISNUMBER(dia),
            terakhir_sys,IFERROR(LOOKUP(2,1/valid,sys),""),
            terakhir_dia,IFERROR(LOOKUP(2,1/valid,dia),""),
            IF(
              OR(terakhir_sys="",terakhir_dia=""),
              "Tidak ada kunjungan",
              IF(
                AND(terakhir_sys&lt;140,terakhir_dia&lt;90),
                "Terkendali",
                "Tidak Terkendali"
              )
            )
          )
        )
      )
    )
  )
)</f>
        <v/>
      </c>
      <c r="AJ4" s="28">
        <f t="array" ref="AJ4:AJ1003">IF(D4:D1003="","",IF(DATE(B4:B1003,1,1)&lt;EOMONTH(D4:D1003,3)+1,"Belum 3 bulan",IF((G4:G1003="")+(H4:H1003=""),"Tidak ada kunjungan",IF((G4:G1003&lt;140)*(H4:H1003&lt;90),"Terkendali","Tidak Terkendali"))))</f>
        <v/>
      </c>
      <c r="AK4" s="28">
        <f t="array" ref="AK4:AK1003">IF(D4:D1003="","",IF(DATE(B4:B1003,2,1)&lt;EOMONTH(D4:D1003,3)+1,"Belum 3 bulan",IF((I4:I1003="")+(J4:J1003=""),"Tidak ada kunjungan",IF((I4:I1003&lt;140)*(J4:J1003&lt;90),"Terkendali","Tidak Terkendali"))))</f>
        <v/>
      </c>
      <c r="AL4" s="28">
        <f t="array" ref="AL4:AL1003">IF(D4:D1003="","",IF(DATE(B4:B1003,3,1)&lt;EOMONTH(D4:D1003,3)+1,"Belum 3 bulan",IF((K4:K1003="")+(L4:L1003=""),"Tidak ada kunjungan",IF((K4:K1003&lt;140)*(L4:L1003&lt;90),"Terkendali","Tidak Terkendali"))))</f>
        <v/>
      </c>
      <c r="AM4" s="28">
        <f t="array" ref="AM4:AM1003">IF(D4:D1003="","",IF(DATE(B4:B1003,4,1)&lt;EOMONTH(D4:D1003,3)+1,"Belum 3 bulan",IF((M4:M1003="")+(N4:N1003=""),"Tidak ada kunjungan",IF((M4:M1003&lt;140)*(N4:N1003&lt;90),"Terkendali","Tidak Terkendali"))))</f>
        <v/>
      </c>
      <c r="AN4" s="28">
        <f t="array" ref="AN4:AN1003">IF(D4:D1003="","",IF(DATE(B4:B1003,5,1)&lt;EOMONTH(D4:D1003,3)+1,"Belum 3 bulan",IF((O4:O1003="")+(P4:P1003=""),"Tidak ada kunjungan",IF((O4:O1003&lt;140)*(P4:P1003&lt;90),"Terkendali","Tidak Terkendali"))))</f>
        <v/>
      </c>
      <c r="AO4" s="28">
        <f t="array" ref="AO4:AO1003">IF(D4:D1003="","",IF(DATE(B4:B1003,6,1)&lt;EOMONTH(D4:D1003,3)+1,"Belum 3 bulan",IF((Q4:Q1003="")+(R4:R1003=""),"Tidak ada kunjungan",IF((Q4:Q1003&lt;140)*(R4:R1003&lt;90),"Terkendali","Tidak Terkendali"))))</f>
        <v/>
      </c>
      <c r="AP4" s="28">
        <f t="array" ref="AP4:AP1003">IF(D4:D1003="","",IF(DATE(B4:B1003,7,1)&lt;EOMONTH(D4:D1003,3)+1,"Belum 3 bulan",IF((S4:S1003="")+(T4:T1003=""),"Tidak ada kunjungan",IF((S4:S1003&lt;140)*(T4:T1003&lt;90),"Terkendali","Tidak Terkendali"))))</f>
        <v/>
      </c>
      <c r="AQ4" s="28">
        <f t="array" ref="AQ4:AQ1003">IF(D4:D1003="","",IF(DATE(B4:B1003,8,1)&lt;EOMONTH(D4:D1003,3)+1,"Belum 3 bulan",IF((U4:U1003="")+(V4:V1003=""),"Tidak ada kunjungan",IF((U4:U1003&lt;140)*(V4:V1003&lt;90),"Terkendali","Tidak Terkendali"))))</f>
        <v/>
      </c>
      <c r="AR4" s="28">
        <f t="array" ref="AR4:AR1003">IF(D4:D1003="","",IF(DATE(B4:B1003,9,1)&lt;EOMONTH(D4:D1003,3)+1,"Belum 3 bulan",IF((W4:W1003="")+(X4:X1003=""),"Tidak ada kunjungan",IF((W4:W1003&lt;140)*(X4:X1003&lt;90),"Terkendali","Tidak Terkendali"))))</f>
        <v/>
      </c>
      <c r="AS4" s="28">
        <f t="array" ref="AS4:AS1003">IF(D4:D1003="","",IF(DATE(B4:B1003,10,1)&lt;EOMONTH(D4:D1003,3)+1,"Belum 3 bulan",IF((Y4:Y1003="")+(Z4:Z1003=""),"Tidak ada kunjungan",IF((Y4:Y1003&lt;140)*(Z4:Z1003&lt;90),"Terkendali","Tidak Terkendali"))))</f>
        <v/>
      </c>
      <c r="AT4" s="28">
        <f t="array" ref="AT4:AT1003">IF(D4:D1003="","",IF(DATE(B4:B1003,11,1)&lt;EOMONTH(D4:D1003,3)+1,"Belum 3 bulan",IF((AA4:AA1003="")+(AB4:AB1003=""),"Tidak ada kunjungan",IF((AA4:AA1003&lt;140)*(AB4:AB1003&lt;90),"Terkendali","Tidak Terkendali"))))</f>
        <v/>
      </c>
      <c r="AU4" s="28">
        <f t="array" ref="AU4:AU1003">IF(D4:D1003="","",IF(DATE(B4:B1003,12,1)&lt;EOMONTH(D4:D1003,3)+1,"Belum 3 bulan",IF((AC4:AC1003="")+(AD4:AD1003=""),"Tidak ada kunjungan",IF((AC4:AC1003&lt;140)*(AD4:AD1003&lt;90),"Terkendali","Tidak Terkendali"))))</f>
        <v/>
      </c>
      <c r="AV4" s="19">
        <f>IF(OR($D4="", $B4=""),"",IF(AND(G4&lt;&gt;"",H4&lt;&gt;""),IF(AND(G4&lt;140,H4&lt;90),"Terkendali","Tidak terkendali"),IF(DATE($B4,1+1,0)&lt;$D4,"Belum 3 bulan",IF(DATEDIF($D4,DATE($B4,1+1,0),"m")&lt;3,"Belum 3 bulan","Tidak ada kunjungan"))))</f>
        <v/>
      </c>
      <c r="AW4" s="19">
        <f>IF(OR($D4="", $B4=""),"",IF(AND(I4&lt;&gt;"",J4&lt;&gt;""),IF(AND(I4&lt;140,J4&lt;90),"Terkendali","Tidak terkendali"),IF(DATE($B4,2+1,0)&lt;$D4,"Belum 3 bulan",IF(DATEDIF($D4,DATE($B4,2+1,0),"m")&lt;3,"Belum 3 bulan","Tidak ada kunjungan"))))</f>
        <v/>
      </c>
      <c r="AX4" s="19">
        <f>IF(OR($D4="", $B4=""),"",IF(AND(K4&lt;&gt;"",L4&lt;&gt;""),IF(AND(K4&lt;140,L4&lt;90),"Terkendali","Tidak terkendali"),IF(DATE($B4,3+1,0)&lt;$D4,"Belum 3 bulan",IF(DATEDIF($D4,DATE($B4,3+1,0),"m")&lt;3,"Belum 3 bulan","Tidak ada kunjungan"))))</f>
        <v/>
      </c>
      <c r="AY4" s="19">
        <f>IF(OR($D4="", $B4=""),"",IF(AND(M4&lt;&gt;"",N4&lt;&gt;""),IF(AND(M4&lt;140,N4&lt;90),"Terkendali","Tidak terkendali"),IF(DATE($B4,4+1,0)&lt;$D4,"Belum 3 bulan",IF(DATEDIF($D4,DATE($B4,4+1,0),"m")&lt;3,"Belum 3 bulan","Tidak ada kunjungan"))))</f>
        <v/>
      </c>
      <c r="AZ4" s="19">
        <f>IF(OR($D4="", $B4=""),"",IF(AND(O4&lt;&gt;"",P4&lt;&gt;""),IF(AND(O4&lt;140,P4&lt;90),"Terkendali","Tidak terkendali"),IF(DATE($B4,5+1,0)&lt;$D4,"Belum 3 bulan",IF(DATEDIF($D4,DATE($B4,5+1,0),"m")&lt;3,"Belum 3 bulan","Tidak ada kunjungan"))))</f>
        <v/>
      </c>
      <c r="BA4" s="19">
        <f>IF(OR($D4="", $B4=""),"",IF(AND(Q4&lt;&gt;"",R4&lt;&gt;""),IF(AND(Q4&lt;140,R4&lt;90),"Terkendali","Tidak terkendali"),IF(DATE($B4,6+1,0)&lt;$D4,"Belum 3 bulan",IF(DATEDIF($D4,DATE($B4,6+1,0),"m")&lt;3,"Belum 3 bulan","Tidak ada kunjungan"))))</f>
        <v/>
      </c>
      <c r="BB4" s="19">
        <f>IF(OR($D4="", $B4=""),"",IF(AND(S4&lt;&gt;"",T4&lt;&gt;""),IF(AND(S4&lt;140,T4&lt;90),"Terkendali","Tidak terkendali"),IF(DATE($B4,7+1,0)&lt;$D4,"Belum 3 bulan",IF(DATEDIF($D4,DATE($B4,7+1,0),"m")&lt;3,"Belum 3 bulan","Tidak ada kunjungan"))))</f>
        <v/>
      </c>
      <c r="BC4" s="19">
        <f>IF(OR($D4="", $B4=""),"",IF(AND(U4&lt;&gt;"",V4&lt;&gt;""),IF(AND(U4&lt;140,V4&lt;90),"Terkendali","Tidak terkendali"),IF(DATE($B4,8+1,0)&lt;$D4,"Belum 3 bulan",IF(DATEDIF($D4,DATE($B4,8+1,0),"m")&lt;3,"Belum 3 bulan","Tidak ada kunjungan"))))</f>
        <v/>
      </c>
      <c r="BD4" s="19">
        <f>IF(OR($D4="", $B4=""),"",IF(AND(W4&lt;&gt;"",X4&lt;&gt;""),IF(AND(W4&lt;140,X4&lt;90),"Terkendali","Tidak terkendali"),IF(DATE($B4,9+1,0)&lt;$D4,"Belum 3 bulan",IF(DATEDIF($D4,DATE($B4,9+1,0),"m")&lt;3,"Belum 3 bulan","Tidak ada kunjungan"))))</f>
        <v/>
      </c>
      <c r="BE4" s="19">
        <f>IF(OR($D4="", $B4=""),"",IF(AND(Y4&lt;&gt;"",Z4&lt;&gt;""),IF(AND(Y4&lt;140,Z4&lt;90),"Terkendali","Tidak terkendali"),IF(DATE($B4,10+1,0)&lt;$D4,"Belum 3 bulan",IF(DATEDIF($D4,DATE($B4,10+1,0),"m")&lt;3,"Belum 3 bulan","Tidak ada kunjungan"))))</f>
        <v/>
      </c>
      <c r="BF4" s="19">
        <f>IF(OR($D4="", $B4=""),"",IF(AND(AA4&lt;&gt;"",AB4&lt;&gt;""),IF(AND(AA4&lt;140,AB4&lt;90),"Terkendali","Tidak terkendali"),IF(DATE($B4,11+1,0)&lt;$D4,"Belum 3 bulan",IF(DATEDIF($D4,DATE($B4,11+1,0),"m")&lt;3,"Belum 3 bulan","Tidak ada kunjungan"))))</f>
        <v/>
      </c>
      <c r="BG4" s="19">
        <f>IF(OR($D4="", $B4=""),"",IF(AND(AC4&lt;&gt;"",AD4&lt;&gt;""),IF(AND(AC4&lt;140,AD4&lt;90),"Terkendali","Tidak terkendali"),IF(DATE($B4,12+1,0)&lt;$D4,"Belum 3 bulan",IF(DATEDIF($D4,DATE($B4,12+1,0),"m")&lt;3,"Belum 3 bulan","Tidak ada kunjungan"))))</f>
        <v/>
      </c>
    </row>
  </sheetData>
  <mergeCells count="20">
    <mergeCell ref="G2:H2"/>
    <mergeCell ref="I2:J2"/>
    <mergeCell ref="M2:N2"/>
    <mergeCell ref="S2:T2"/>
    <mergeCell ref="D1:D3"/>
    <mergeCell ref="F1:F3"/>
    <mergeCell ref="U2:V2"/>
    <mergeCell ref="Y2:Z2"/>
    <mergeCell ref="A1:A3"/>
    <mergeCell ref="K2:L2"/>
    <mergeCell ref="G1:AD1"/>
    <mergeCell ref="E1:E3"/>
    <mergeCell ref="AE1:AU1"/>
    <mergeCell ref="O2:P2"/>
    <mergeCell ref="Q2:R2"/>
    <mergeCell ref="W2:X2"/>
    <mergeCell ref="B1:B3"/>
    <mergeCell ref="C1:C3"/>
    <mergeCell ref="AA2:AB2"/>
    <mergeCell ref="AC2:AD2"/>
  </mergeCells>
  <conditionalFormatting sqref="G4:G1003">
    <cfRule type="cellIs" priority="1" operator="lessThan" dxfId="0">
      <formula>140</formula>
    </cfRule>
    <cfRule type="cellIs" priority="2" operator="greaterThanOrEqual" dxfId="1">
      <formula>140</formula>
    </cfRule>
  </conditionalFormatting>
  <conditionalFormatting sqref="H4:H1003">
    <cfRule type="cellIs" priority="3" operator="greaterThanOrEqual" dxfId="1">
      <formula>90</formula>
    </cfRule>
    <cfRule type="cellIs" priority="4" operator="lessThan" dxfId="0">
      <formula>90</formula>
    </cfRule>
  </conditionalFormatting>
  <conditionalFormatting sqref="I4:I1003">
    <cfRule type="cellIs" priority="5" operator="lessThan" dxfId="0">
      <formula>140</formula>
    </cfRule>
    <cfRule type="cellIs" priority="6" operator="greaterThanOrEqual" dxfId="1">
      <formula>140</formula>
    </cfRule>
  </conditionalFormatting>
  <conditionalFormatting sqref="J4:J1003">
    <cfRule type="cellIs" priority="7" operator="greaterThanOrEqual" dxfId="1">
      <formula>90</formula>
    </cfRule>
    <cfRule type="cellIs" priority="8" operator="lessThan" dxfId="0">
      <formula>90</formula>
    </cfRule>
  </conditionalFormatting>
  <conditionalFormatting sqref="K4:K1003">
    <cfRule type="cellIs" priority="9" operator="lessThan" dxfId="0">
      <formula>140</formula>
    </cfRule>
    <cfRule type="cellIs" priority="10" operator="greaterThanOrEqual" dxfId="1">
      <formula>140</formula>
    </cfRule>
  </conditionalFormatting>
  <conditionalFormatting sqref="L4:L1003">
    <cfRule type="cellIs" priority="11" operator="greaterThanOrEqual" dxfId="1">
      <formula>90</formula>
    </cfRule>
    <cfRule type="cellIs" priority="12" operator="lessThan" dxfId="0">
      <formula>90</formula>
    </cfRule>
  </conditionalFormatting>
  <conditionalFormatting sqref="M4:M1003">
    <cfRule type="cellIs" priority="13" operator="lessThan" dxfId="0">
      <formula>140</formula>
    </cfRule>
    <cfRule type="cellIs" priority="14" operator="greaterThanOrEqual" dxfId="1">
      <formula>140</formula>
    </cfRule>
  </conditionalFormatting>
  <conditionalFormatting sqref="N4:N1003">
    <cfRule type="cellIs" priority="15" operator="greaterThanOrEqual" dxfId="1">
      <formula>90</formula>
    </cfRule>
    <cfRule type="cellIs" priority="16" operator="lessThan" dxfId="0">
      <formula>90</formula>
    </cfRule>
  </conditionalFormatting>
  <conditionalFormatting sqref="O4:O1003">
    <cfRule type="cellIs" priority="17" operator="lessThan" dxfId="0">
      <formula>140</formula>
    </cfRule>
    <cfRule type="cellIs" priority="18" operator="greaterThanOrEqual" dxfId="1">
      <formula>140</formula>
    </cfRule>
  </conditionalFormatting>
  <conditionalFormatting sqref="P4:P1003">
    <cfRule type="cellIs" priority="19" operator="greaterThanOrEqual" dxfId="1">
      <formula>90</formula>
    </cfRule>
    <cfRule type="cellIs" priority="20" operator="lessThan" dxfId="0">
      <formula>90</formula>
    </cfRule>
  </conditionalFormatting>
  <conditionalFormatting sqref="Q4:Q1003">
    <cfRule type="cellIs" priority="21" operator="lessThan" dxfId="0">
      <formula>140</formula>
    </cfRule>
    <cfRule type="cellIs" priority="22" operator="greaterThanOrEqual" dxfId="1">
      <formula>140</formula>
    </cfRule>
  </conditionalFormatting>
  <conditionalFormatting sqref="R4:R1003">
    <cfRule type="cellIs" priority="23" operator="greaterThanOrEqual" dxfId="1">
      <formula>90</formula>
    </cfRule>
    <cfRule type="cellIs" priority="24" operator="lessThan" dxfId="0">
      <formula>90</formula>
    </cfRule>
  </conditionalFormatting>
  <conditionalFormatting sqref="S4:S1003">
    <cfRule type="cellIs" priority="25" operator="lessThan" dxfId="0">
      <formula>140</formula>
    </cfRule>
    <cfRule type="cellIs" priority="26" operator="greaterThanOrEqual" dxfId="1">
      <formula>140</formula>
    </cfRule>
  </conditionalFormatting>
  <conditionalFormatting sqref="T4:T1003">
    <cfRule type="cellIs" priority="27" operator="greaterThanOrEqual" dxfId="1">
      <formula>90</formula>
    </cfRule>
    <cfRule type="cellIs" priority="28" operator="lessThan" dxfId="0">
      <formula>90</formula>
    </cfRule>
  </conditionalFormatting>
  <conditionalFormatting sqref="U4:U1003">
    <cfRule type="cellIs" priority="29" operator="lessThan" dxfId="0">
      <formula>140</formula>
    </cfRule>
    <cfRule type="cellIs" priority="30" operator="greaterThanOrEqual" dxfId="1">
      <formula>140</formula>
    </cfRule>
  </conditionalFormatting>
  <conditionalFormatting sqref="V4:V1003">
    <cfRule type="cellIs" priority="31" operator="greaterThanOrEqual" dxfId="1">
      <formula>90</formula>
    </cfRule>
    <cfRule type="cellIs" priority="32" operator="lessThan" dxfId="0">
      <formula>90</formula>
    </cfRule>
  </conditionalFormatting>
  <conditionalFormatting sqref="W4:W1003">
    <cfRule type="cellIs" priority="33" operator="lessThan" dxfId="0">
      <formula>140</formula>
    </cfRule>
    <cfRule type="cellIs" priority="34" operator="greaterThanOrEqual" dxfId="1">
      <formula>140</formula>
    </cfRule>
  </conditionalFormatting>
  <conditionalFormatting sqref="X4:X1003">
    <cfRule type="cellIs" priority="35" operator="greaterThanOrEqual" dxfId="1">
      <formula>90</formula>
    </cfRule>
    <cfRule type="cellIs" priority="36" operator="lessThan" dxfId="0">
      <formula>90</formula>
    </cfRule>
  </conditionalFormatting>
  <conditionalFormatting sqref="Y4:Y1003">
    <cfRule type="cellIs" priority="37" operator="lessThan" dxfId="0">
      <formula>140</formula>
    </cfRule>
    <cfRule type="cellIs" priority="38" operator="greaterThanOrEqual" dxfId="1">
      <formula>140</formula>
    </cfRule>
  </conditionalFormatting>
  <conditionalFormatting sqref="Z4:Z1003">
    <cfRule type="cellIs" priority="39" operator="greaterThanOrEqual" dxfId="1">
      <formula>90</formula>
    </cfRule>
    <cfRule type="cellIs" priority="40" operator="lessThan" dxfId="0">
      <formula>90</formula>
    </cfRule>
  </conditionalFormatting>
  <conditionalFormatting sqref="AA4:AA1003">
    <cfRule type="cellIs" priority="41" operator="lessThan" dxfId="0">
      <formula>140</formula>
    </cfRule>
    <cfRule type="cellIs" priority="42" operator="greaterThanOrEqual" dxfId="1">
      <formula>140</formula>
    </cfRule>
  </conditionalFormatting>
  <conditionalFormatting sqref="AB4:AB1003">
    <cfRule type="cellIs" priority="43" operator="greaterThanOrEqual" dxfId="1">
      <formula>90</formula>
    </cfRule>
    <cfRule type="cellIs" priority="44" operator="lessThan" dxfId="0">
      <formula>90</formula>
    </cfRule>
  </conditionalFormatting>
  <conditionalFormatting sqref="AC4:AC1003">
    <cfRule type="cellIs" priority="45" operator="lessThan" dxfId="0">
      <formula>140</formula>
    </cfRule>
    <cfRule type="cellIs" priority="46" operator="greaterThanOrEqual" dxfId="1">
      <formula>140</formula>
    </cfRule>
  </conditionalFormatting>
  <conditionalFormatting sqref="AD4:AD1003 AE4">
    <cfRule type="cellIs" priority="47" operator="greaterThanOrEqual" dxfId="1">
      <formula>90</formula>
    </cfRule>
    <cfRule type="cellIs" priority="48" operator="lessThan" dxfId="0">
      <formula>90</formula>
    </cfRule>
  </conditionalFormatting>
  <dataValidations count="13">
    <dataValidation sqref="D4:D1003" showDropDown="0" showInputMessage="1" showErrorMessage="1" allowBlank="1" prompt="Format Salah - Tanggal harus menggunakan format dd/mm/yyyy_x000a_Contoh : 01/01/2026" type="date">
      <formula1>36526.0</formula1>
      <formula2>73415.0</formula2>
    </dataValidation>
    <dataValidation sqref="K2 K3:L1003" showDropDown="0" showInputMessage="1" showErrorMessage="1" allowBlank="1" prompt="Belum bisa diisi - Data bulan ini belum dapat diinput" type="custom">
      <formula1>MONTH(TODAY())&gt;=3</formula1>
    </dataValidation>
    <dataValidation sqref="I2 I3:J1003" showDropDown="0" showInputMessage="1" showErrorMessage="1" allowBlank="1" prompt="Belum bisa diisi - Data bulan ini belum dapat diinput" type="custom">
      <formula1>MONTH(TODAY())&gt;=2</formula1>
    </dataValidation>
    <dataValidation sqref="Q4:R1003" showDropDown="0" showInputMessage="1" showErrorMessage="1" allowBlank="1" prompt="Belum dapat diisi - Data bulan ini belum dapat diinput." type="custom">
      <formula1>"MONTH(TODAY())&gt;=6"</formula1>
    </dataValidation>
    <dataValidation sqref="Y4:Z1003" showDropDown="0" showInputMessage="1" showErrorMessage="1" allowBlank="1" prompt="Belum bisa diisi - Data bulan ini belum dapat diinput" type="custom">
      <formula1>MONTH(TODAY())&gt;=10</formula1>
    </dataValidation>
    <dataValidation sqref="AA4:AB1003" showDropDown="0" showInputMessage="1" showErrorMessage="1" allowBlank="1" prompt="Belum bisa diisi - Data bulan ini belum dapat diinput" type="custom">
      <formula1>MONTH(TODAY())&gt;=11</formula1>
    </dataValidation>
    <dataValidation sqref="S4:T1003" showDropDown="0" showInputMessage="1" showErrorMessage="1" allowBlank="1" prompt="Belum bisa diisi - Data bulan ini belum dapat diinput" type="custom">
      <formula1>MONTH(TODAY())&gt;=7</formula1>
    </dataValidation>
    <dataValidation sqref="G2 G3:H3" showDropDown="0" showInputMessage="1" showErrorMessage="1" allowBlank="1" prompt="Belum bisa diisi - Data bulan ini belum daoat diinput" type="custom">
      <formula1>MONTH(TODAY())&gt;=1</formula1>
    </dataValidation>
    <dataValidation sqref="W4:X1003" showDropDown="0" showInputMessage="1" showErrorMessage="1" allowBlank="1" prompt="Belum bisa diisi - Data bulan ini belum dapat diinput" type="custom">
      <formula1>MONTH(TODAY())&gt;=9</formula1>
    </dataValidation>
    <dataValidation sqref="AC4:AE4 AC5:AD1003" showDropDown="0" showInputMessage="1" showErrorMessage="1" allowBlank="1" prompt="Belum bisa diisi - Data bulan ini belum dapat diinput" type="custom">
      <formula1>MONTH(TODAY())&gt;=12</formula1>
    </dataValidation>
    <dataValidation sqref="O2 O3:P1003" showDropDown="0" showInputMessage="1" showErrorMessage="1" allowBlank="1" prompt="Belum bisa diisi - Data bulan ini belum dapat diinput" type="custom">
      <formula1>MONTH(TODAY())&gt;=5</formula1>
    </dataValidation>
    <dataValidation sqref="M2 M3:N1003" showDropDown="0" showInputMessage="1" showErrorMessage="1" allowBlank="1" prompt="Belum bisa diisi - Data bulan ini belum dapat diinput" type="custom">
      <formula1>MONTH(TODAY())&gt;=4</formula1>
    </dataValidation>
    <dataValidation sqref="U4:V1003" showDropDown="0" showInputMessage="1" showErrorMessage="1" allowBlank="1" prompt="Belum bisa diisi - Data bulan ini belum dapat diinput" type="custom">
      <formula1>MONTH(TODAY())&gt;=8</formula1>
    </dataValidation>
  </dataValidation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77" min="1" max="65"/>
  </cols>
  <sheetData>
    <row r="1" ht="14.25" customHeight="1" s="77">
      <c r="A1" s="85" t="inlineStr">
        <is>
          <t>Pasien yang Dilayani Sesuai Standar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1" t="n"/>
      <c r="N1" s="85" t="inlineStr">
        <is>
          <t>Total Pasien Terkendali</t>
        </is>
      </c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  <c r="AA1" s="80" t="n"/>
      <c r="AB1" s="80" t="n"/>
      <c r="AC1" s="80" t="n"/>
      <c r="AD1" s="81" t="n"/>
      <c r="AE1" s="85" t="inlineStr">
        <is>
          <t>Total Pasien Terkendali yang Diberikan Obat</t>
        </is>
      </c>
      <c r="AF1" s="80" t="n"/>
      <c r="AG1" s="80" t="n"/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1" t="n"/>
      <c r="AW1" s="85" t="inlineStr">
        <is>
          <t>Total Pasien Terkendali yang Tidak Diberikan Obat</t>
        </is>
      </c>
      <c r="AX1" s="80" t="n"/>
      <c r="AY1" s="80" t="n"/>
      <c r="AZ1" s="80" t="n"/>
      <c r="BA1" s="80" t="n"/>
      <c r="BB1" s="80" t="n"/>
      <c r="BC1" s="80" t="n"/>
      <c r="BD1" s="80" t="n"/>
      <c r="BE1" s="80" t="n"/>
      <c r="BF1" s="80" t="n"/>
      <c r="BG1" s="80" t="n"/>
      <c r="BH1" s="80" t="n"/>
      <c r="BI1" s="80" t="n"/>
      <c r="BJ1" s="80" t="n"/>
      <c r="BK1" s="80" t="n"/>
      <c r="BL1" s="80" t="n"/>
      <c r="BM1" s="81" t="n"/>
    </row>
    <row r="2" ht="14.25" customHeight="1" s="77">
      <c r="A2" s="26" t="inlineStr">
        <is>
          <t>Januari</t>
        </is>
      </c>
      <c r="B2" s="26" t="inlineStr">
        <is>
          <t>Februari</t>
        </is>
      </c>
      <c r="C2" s="26" t="inlineStr">
        <is>
          <t>Maret</t>
        </is>
      </c>
      <c r="D2" s="26" t="inlineStr">
        <is>
          <t>April</t>
        </is>
      </c>
      <c r="E2" s="26" t="inlineStr">
        <is>
          <t>Mei</t>
        </is>
      </c>
      <c r="F2" s="26" t="inlineStr">
        <is>
          <t>Juni</t>
        </is>
      </c>
      <c r="G2" s="26" t="inlineStr">
        <is>
          <t>Juli</t>
        </is>
      </c>
      <c r="H2" s="26" t="inlineStr">
        <is>
          <t>Agustus</t>
        </is>
      </c>
      <c r="I2" s="26" t="inlineStr">
        <is>
          <t>September</t>
        </is>
      </c>
      <c r="J2" s="26" t="inlineStr">
        <is>
          <t>Oktober</t>
        </is>
      </c>
      <c r="K2" s="26" t="inlineStr">
        <is>
          <t>November</t>
        </is>
      </c>
      <c r="L2" s="26" t="inlineStr">
        <is>
          <t>Desember</t>
        </is>
      </c>
      <c r="N2" s="26" t="inlineStr">
        <is>
          <t>Bulan Berjalan</t>
        </is>
      </c>
      <c r="O2" s="26" t="inlineStr">
        <is>
          <t>TW 1</t>
        </is>
      </c>
      <c r="P2" s="26" t="inlineStr">
        <is>
          <t>TW 2</t>
        </is>
      </c>
      <c r="Q2" s="26" t="inlineStr">
        <is>
          <t>TW 3</t>
        </is>
      </c>
      <c r="R2" s="26" t="inlineStr">
        <is>
          <t>TW 4</t>
        </is>
      </c>
      <c r="S2" s="26" t="inlineStr">
        <is>
          <t>Januari</t>
        </is>
      </c>
      <c r="T2" s="26" t="inlineStr">
        <is>
          <t>Februari</t>
        </is>
      </c>
      <c r="U2" s="26" t="inlineStr">
        <is>
          <t>Maret</t>
        </is>
      </c>
      <c r="V2" s="26" t="inlineStr">
        <is>
          <t>April</t>
        </is>
      </c>
      <c r="W2" s="26" t="inlineStr">
        <is>
          <t>Mei</t>
        </is>
      </c>
      <c r="X2" s="26" t="inlineStr">
        <is>
          <t>Juni</t>
        </is>
      </c>
      <c r="Y2" s="26" t="inlineStr">
        <is>
          <t>Juli</t>
        </is>
      </c>
      <c r="Z2" s="26" t="inlineStr">
        <is>
          <t>Agustus</t>
        </is>
      </c>
      <c r="AA2" s="26" t="inlineStr">
        <is>
          <t>September</t>
        </is>
      </c>
      <c r="AB2" s="26" t="inlineStr">
        <is>
          <t>Oktober</t>
        </is>
      </c>
      <c r="AC2" s="26" t="inlineStr">
        <is>
          <t>November</t>
        </is>
      </c>
      <c r="AD2" s="26" t="inlineStr">
        <is>
          <t>Desember</t>
        </is>
      </c>
      <c r="AE2" s="26" t="inlineStr">
        <is>
          <t>Bulan Berjalan</t>
        </is>
      </c>
      <c r="AF2" s="26" t="inlineStr">
        <is>
          <t>TW 1</t>
        </is>
      </c>
      <c r="AG2" s="26" t="inlineStr">
        <is>
          <t>TW 2</t>
        </is>
      </c>
      <c r="AH2" s="26" t="inlineStr">
        <is>
          <t>TW 3</t>
        </is>
      </c>
      <c r="AI2" s="26" t="inlineStr">
        <is>
          <t>TW 4</t>
        </is>
      </c>
      <c r="AJ2" s="26" t="inlineStr">
        <is>
          <t>Januari</t>
        </is>
      </c>
      <c r="AK2" s="26" t="inlineStr">
        <is>
          <t>Februari</t>
        </is>
      </c>
      <c r="AL2" s="26" t="inlineStr">
        <is>
          <t>Maret</t>
        </is>
      </c>
      <c r="AM2" s="26" t="inlineStr">
        <is>
          <t>April</t>
        </is>
      </c>
      <c r="AN2" s="26" t="inlineStr">
        <is>
          <t>Mei</t>
        </is>
      </c>
      <c r="AO2" s="26" t="inlineStr">
        <is>
          <t>Juni</t>
        </is>
      </c>
      <c r="AP2" s="26" t="inlineStr">
        <is>
          <t>Juli</t>
        </is>
      </c>
      <c r="AQ2" s="26" t="inlineStr">
        <is>
          <t>Agustus</t>
        </is>
      </c>
      <c r="AR2" s="26" t="inlineStr">
        <is>
          <t>September</t>
        </is>
      </c>
      <c r="AS2" s="26" t="inlineStr">
        <is>
          <t>Oktober</t>
        </is>
      </c>
      <c r="AT2" s="26" t="inlineStr">
        <is>
          <t>November</t>
        </is>
      </c>
      <c r="AU2" s="26" t="inlineStr">
        <is>
          <t>Desember</t>
        </is>
      </c>
      <c r="AW2" s="26" t="inlineStr">
        <is>
          <t>Bulan Berjalan</t>
        </is>
      </c>
      <c r="AX2" s="26" t="inlineStr">
        <is>
          <t>TW 1</t>
        </is>
      </c>
      <c r="AY2" s="26" t="inlineStr">
        <is>
          <t>TW 2</t>
        </is>
      </c>
      <c r="AZ2" s="26" t="inlineStr">
        <is>
          <t>TW 3</t>
        </is>
      </c>
      <c r="BA2" s="26" t="inlineStr">
        <is>
          <t>TW 4</t>
        </is>
      </c>
      <c r="BB2" s="26" t="inlineStr">
        <is>
          <t>Januari</t>
        </is>
      </c>
      <c r="BC2" s="26" t="inlineStr">
        <is>
          <t>Februari</t>
        </is>
      </c>
      <c r="BD2" s="26" t="inlineStr">
        <is>
          <t>Maret</t>
        </is>
      </c>
      <c r="BE2" s="26" t="inlineStr">
        <is>
          <t>April</t>
        </is>
      </c>
      <c r="BF2" s="26" t="inlineStr">
        <is>
          <t>Mei</t>
        </is>
      </c>
      <c r="BG2" s="26" t="inlineStr">
        <is>
          <t>Juni</t>
        </is>
      </c>
      <c r="BH2" s="26" t="inlineStr">
        <is>
          <t>Juli</t>
        </is>
      </c>
      <c r="BI2" s="26" t="inlineStr">
        <is>
          <t>Agustus</t>
        </is>
      </c>
      <c r="BJ2" s="26" t="inlineStr">
        <is>
          <t>September</t>
        </is>
      </c>
      <c r="BK2" s="26" t="inlineStr">
        <is>
          <t>Oktober</t>
        </is>
      </c>
      <c r="BL2" s="26" t="inlineStr">
        <is>
          <t>November</t>
        </is>
      </c>
      <c r="BM2" s="26" t="inlineStr">
        <is>
          <t>Desember</t>
        </is>
      </c>
    </row>
    <row r="3" ht="14.25" customHeight="1" s="77">
      <c r="A3" s="28">
        <f t="array" ref="A3">SUMPRODUCT(
  ('Hipertensi - Puskesmas'!$E:$E=TRUE)*
  ('Hipertensi - Puskesmas'!$F:$F=TRUE)*
  ('Hipertensi - Puskesmas'!G:G&lt;&gt;"")*
  ('Hipertensi - Puskesmas'!H:H&lt;&gt;"")
)</f>
        <v/>
      </c>
      <c r="B3" s="28">
        <f t="array" ref="B3">SUMPRODUCT(
  ('Hipertensi - Puskesmas'!$E:$E=TRUE)*
  ('Hipertensi - Puskesmas'!$F:$F=TRUE)*
  ('Hipertensi - Puskesmas'!I:I&lt;&gt;"")*
  ('Hipertensi - Puskesmas'!J:J&lt;&gt;"")
)</f>
        <v/>
      </c>
      <c r="C3" s="28">
        <f t="array" ref="C3">SUMPRODUCT(
  ('Hipertensi - Puskesmas'!$E:$E=TRUE)*
  ('Hipertensi - Puskesmas'!$F:$F=TRUE)*
  ('Hipertensi - Puskesmas'!K:K&lt;&gt;"")*
  ('Hipertensi - Puskesmas'!L:L&lt;&gt;"")
)</f>
        <v/>
      </c>
      <c r="D3" s="28">
        <f t="array" ref="D3">SUMPRODUCT(
  ('Hipertensi - Puskesmas'!$E:$E=TRUE)*
  ('Hipertensi - Puskesmas'!$F:$F=TRUE)*
  ('Hipertensi - Puskesmas'!M:M&lt;&gt;"")*
  ('Hipertensi - Puskesmas'!M:M&lt;&gt;"")
)</f>
        <v/>
      </c>
      <c r="E3" s="28">
        <f t="array" ref="E3">SUMPRODUCT(
  ('Hipertensi - Puskesmas'!$E:$E=TRUE)*
  ('Hipertensi - Puskesmas'!$F:$F=TRUE)*
  ('Hipertensi - Puskesmas'!N:N&lt;&gt;"")*
  ('Hipertensi - Puskesmas'!O:O&lt;&gt;"")
)</f>
        <v/>
      </c>
      <c r="F3" s="28">
        <f t="array" ref="F3">SUMPRODUCT(
  ('Hipertensi - Puskesmas'!$E:$E=TRUE)*
  ('Hipertensi - Puskesmas'!$F:$F=TRUE)*
  ('Hipertensi - Puskesmas'!P:P&lt;&gt;"")*
  ('Hipertensi - Puskesmas'!Q:Q&lt;&gt;"")
)</f>
        <v/>
      </c>
      <c r="G3" s="28">
        <f t="array" ref="G3">SUMPRODUCT(
  ('Hipertensi - Puskesmas'!$E:$E=TRUE)*
  ('Hipertensi - Puskesmas'!$F:$F=TRUE)*
  ('Hipertensi - Puskesmas'!R:R&lt;&gt;"")*
  ('Hipertensi - Puskesmas'!S:S&lt;&gt;"")
)</f>
        <v/>
      </c>
      <c r="H3" s="28">
        <f t="array" ref="H3">SUMPRODUCT(
  ('Hipertensi - Puskesmas'!$E:$E=TRUE)*
  ('Hipertensi - Puskesmas'!$F:$F=TRUE)*
  ('Hipertensi - Puskesmas'!T:T&lt;&gt;"")*
  ('Hipertensi - Puskesmas'!U:U&lt;&gt;"")
)</f>
        <v/>
      </c>
      <c r="I3" s="28">
        <f t="array" ref="I3">SUMPRODUCT(
  ('Hipertensi - Puskesmas'!$E:$E=TRUE)*
  ('Hipertensi - Puskesmas'!$F:$F=TRUE)*
  ('Hipertensi - Puskesmas'!V:V&lt;&gt;"")*
  ('Hipertensi - Puskesmas'!W:W&lt;&gt;"")
)</f>
        <v/>
      </c>
      <c r="J3" s="28">
        <f t="array" ref="J3">SUMPRODUCT(
  ('Hipertensi - Puskesmas'!$E:$E=TRUE)*
  ('Hipertensi - Puskesmas'!$F:$F=TRUE)*
  ('Hipertensi - Puskesmas'!X:X&lt;&gt;"")*
  ('Hipertensi - Puskesmas'!Y:Y&lt;&gt;"")
)</f>
        <v/>
      </c>
      <c r="K3" s="28">
        <f t="array" ref="K3">SUMPRODUCT(
  ('Hipertensi - Puskesmas'!$E:$E=TRUE)*
  ('Hipertensi - Puskesmas'!$F:$F=TRUE)*
  ('Hipertensi - Puskesmas'!Z:Z&lt;&gt;"")*
  ('Hipertensi - Puskesmas'!AA:AA&lt;&gt;"")
)</f>
        <v/>
      </c>
      <c r="L3" s="28">
        <f t="array" ref="L3">SUMPRODUCT(
  ('Hipertensi - Puskesmas'!$E:$E=TRUE)*
  ('Hipertensi - Puskesmas'!$F:$F=TRUE)*
  ('Hipertensi - Puskesmas'!AB:AB&lt;&gt;"")*
  ('Hipertensi - Puskesmas'!AC:AC&lt;&gt;"")
)</f>
        <v/>
      </c>
      <c r="N3" s="28">
        <f t="array" ref="N3">SUMPRODUCT(--(CLEAN(TRIM('Hipertensi - Puskesmas'!AE:AE))="Terkendali"))</f>
        <v/>
      </c>
      <c r="O3" s="28">
        <f t="array" ref="O3">SUMPRODUCT(--(CLEAN(TRIM('Hipertensi - Puskesmas'!AF:AF))="Terkendali"))</f>
        <v/>
      </c>
      <c r="P3" s="28">
        <f t="array" ref="P3">SUMPRODUCT(--(CLEAN(TRIM('Hipertensi - Puskesmas'!AG:AG))="Terkendali"))</f>
        <v/>
      </c>
      <c r="Q3" s="28">
        <f t="array" ref="Q3">SUMPRODUCT(--(CLEAN(TRIM('Hipertensi - Puskesmas'!AH:AH))="Terkendali"))</f>
        <v/>
      </c>
      <c r="R3" s="28">
        <f t="array" ref="R3">SUMPRODUCT(--(CLEAN(TRIM('Hipertensi - Puskesmas'!AI:AI))="Terkendali"))</f>
        <v/>
      </c>
      <c r="S3" s="28">
        <f t="array" ref="S3">SUMPRODUCT(
  --(CLEAN(TRIM(INDEX('Hipertensi - Puskesmas'!$AJ:$AU,0,COLUMN()-COLUMN($S$3)+1)))="Terkendali")
)</f>
        <v/>
      </c>
      <c r="T3" s="28">
        <f t="array" ref="T3">SUMPRODUCT(
  --(CLEAN(TRIM(INDEX('Hipertensi - Puskesmas'!$AJ:$AU,0,COLUMN()-COLUMN($S$3)+1)))="Terkendali")
)</f>
        <v/>
      </c>
      <c r="U3" s="28">
        <f t="array" ref="U3">SUMPRODUCT(
  --(CLEAN(TRIM(INDEX('Hipertensi - Puskesmas'!$AJ:$AU,0,COLUMN()-COLUMN($S$3)+1)))="Terkendali")
)</f>
        <v/>
      </c>
      <c r="V3" s="28">
        <f t="array" ref="V3">SUMPRODUCT(
  --(CLEAN(TRIM(INDEX('Hipertensi - Puskesmas'!$AJ:$AU,0,COLUMN()-COLUMN($S$3)+1)))="Terkendali")
)</f>
        <v/>
      </c>
      <c r="W3" s="28">
        <f t="array" ref="W3">SUMPRODUCT(
  --(CLEAN(TRIM(INDEX('Hipertensi - Puskesmas'!$AJ:$AU,0,COLUMN()-COLUMN($S$3)+1)))="Terkendali")
)</f>
        <v/>
      </c>
      <c r="X3" s="28">
        <f t="array" ref="X3">SUMPRODUCT(
  --(CLEAN(TRIM(INDEX('Hipertensi - Puskesmas'!$AJ:$AU,0,COLUMN()-COLUMN($S$3)+1)))="Terkendali")
)</f>
        <v/>
      </c>
      <c r="Y3" s="28">
        <f t="array" ref="Y3">SUMPRODUCT(
  --(CLEAN(TRIM(INDEX('Hipertensi - Puskesmas'!$AJ:$AU,0,COLUMN()-COLUMN($S$3)+1)))="Terkendali")
)</f>
        <v/>
      </c>
      <c r="Z3" s="28">
        <f t="array" ref="Z3">SUMPRODUCT(
  --(CLEAN(TRIM(INDEX('Hipertensi - Puskesmas'!$AJ:$AU,0,COLUMN()-COLUMN($S$3)+1)))="Terkendali")
)</f>
        <v/>
      </c>
      <c r="AA3" s="28">
        <f t="array" ref="AA3">SUMPRODUCT(
  --(CLEAN(TRIM(INDEX('Hipertensi - Puskesmas'!$AJ:$AU,0,COLUMN()-COLUMN($S$3)+1)))="Terkendali")
)</f>
        <v/>
      </c>
      <c r="AB3" s="28">
        <f t="array" ref="AB3">SUMPRODUCT(
  --(CLEAN(TRIM(INDEX('Hipertensi - Puskesmas'!$AJ:$AU,0,COLUMN()-COLUMN($S$3)+1)))="Terkendali")
)</f>
        <v/>
      </c>
      <c r="AC3" s="28">
        <f t="array" ref="AC3">SUMPRODUCT(
  --(CLEAN(TRIM(INDEX('Hipertensi - Puskesmas'!$AJ:$AU,0,COLUMN()-COLUMN($S$3)+1)))="Terkendali")
)</f>
        <v/>
      </c>
      <c r="AD3" s="28">
        <f t="array" ref="AD3">SUMPRODUCT(
  --(CLEAN(TRIM(INDEX('Hipertensi - Puskesmas'!$AJ:$AU,0,COLUMN()-COLUMN($S$3)+1)))="Terkendali")
)</f>
        <v/>
      </c>
      <c r="AE3" s="28">
        <f t="array" ref="AE3">SUMPRODUCT(
  --(CLEAN(TRIM('Hipertensi - Puskesmas'!AE:AE))="Terkendali"),
  --('Hipertensi - Puskesmas'!$E:$E=TRUE)
)</f>
        <v/>
      </c>
      <c r="AF3" s="28">
        <f t="array" ref="AF3">SUMPRODUCT(
  --(CLEAN(TRIM('Hipertensi - Puskesmas'!AF:AF))="Terkendali"),
  --('Hipertensi - Puskesmas'!$E:$E=TRUE)
)</f>
        <v/>
      </c>
      <c r="AG3" s="28">
        <f t="array" ref="AG3">SUMPRODUCT(
  --(CLEAN(TRIM('Hipertensi - Puskesmas'!AG:AG))="Terkendali"),
  --('Hipertensi - Puskesmas'!$E:$E=TRUE)
)</f>
        <v/>
      </c>
      <c r="AH3" s="28">
        <f t="array" ref="AH3">SUMPRODUCT(
  --(CLEAN(TRIM('Hipertensi - Puskesmas'!AH:AH))="Terkendali"),
  --('Hipertensi - Puskesmas'!$E:$E=TRUE)
)</f>
        <v/>
      </c>
      <c r="AI3" s="28">
        <f t="array" ref="AI3">SUMPRODUCT(
  --(CLEAN(TRIM('Hipertensi - Puskesmas'!AI:AI))="Terkendali"),
  --('Hipertensi - Puskesmas'!$E:$E=TRUE)
)</f>
        <v/>
      </c>
      <c r="AJ3" s="28">
        <f t="array" ref="AJ3">SUMPRODUCT(
  --(CLEAN(TRIM(INDEX('Hipertensi - Puskesmas'!$AJ:$AU,0,COLUMN()-COLUMN($AJ$3)+1)))="Terkendali"),
  --('Hipertensi - Puskesmas'!$E:$E=TRUE)
)</f>
        <v/>
      </c>
      <c r="AK3" s="28">
        <f t="array" ref="AK3">SUMPRODUCT(
  --(CLEAN(TRIM(INDEX('Hipertensi - Puskesmas'!$AJ:$AU,0,COLUMN()-COLUMN($AJ$3)+1)))="Terkendali"),
  --('Hipertensi - Puskesmas'!$E:$E=TRUE)
)</f>
        <v/>
      </c>
      <c r="AL3" s="28">
        <f t="array" ref="AL3">SUMPRODUCT(
  --(CLEAN(TRIM(INDEX('Hipertensi - Puskesmas'!$AJ:$AU,0,COLUMN()-COLUMN($AJ$3)+1)))="Terkendali"),
  --('Hipertensi - Puskesmas'!$E:$E=TRUE)
)</f>
        <v/>
      </c>
      <c r="AM3" s="28">
        <f t="array" ref="AM3">SUMPRODUCT(
  --(CLEAN(TRIM(INDEX('Hipertensi - Puskesmas'!$AJ:$AU,0,COLUMN()-COLUMN($AJ$3)+1)))="Terkendali"),
  --('Hipertensi - Puskesmas'!$E:$E=TRUE)
)</f>
        <v/>
      </c>
      <c r="AN3" s="28">
        <f t="array" ref="AN3">SUMPRODUCT(
  --(CLEAN(TRIM(INDEX('Hipertensi - Puskesmas'!$AJ:$AU,0,COLUMN()-COLUMN($AJ$3)+1)))="Terkendali"),
  --('Hipertensi - Puskesmas'!$E:$E=TRUE)
)</f>
        <v/>
      </c>
      <c r="AO3" s="28">
        <f t="array" ref="AO3">SUMPRODUCT(
  --(CLEAN(TRIM(INDEX('Hipertensi - Puskesmas'!$AJ:$AU,0,COLUMN()-COLUMN($AJ$3)+1)))="Terkendali"),
  --('Hipertensi - Puskesmas'!$E:$E=TRUE)
)</f>
        <v/>
      </c>
      <c r="AP3" s="28">
        <f t="array" ref="AP3">SUMPRODUCT(
  --(CLEAN(TRIM(INDEX('Hipertensi - Puskesmas'!$AJ:$AU,0,COLUMN()-COLUMN($AJ$3)+1)))="Terkendali"),
  --('Hipertensi - Puskesmas'!$E:$E=TRUE)
)</f>
        <v/>
      </c>
      <c r="AQ3" s="28">
        <f t="array" ref="AQ3">SUMPRODUCT(
  --(CLEAN(TRIM(INDEX('Hipertensi - Puskesmas'!$AJ:$AU,0,COLUMN()-COLUMN($AJ$3)+1)))="Terkendali"),
  --('Hipertensi - Puskesmas'!$E:$E=TRUE)
)</f>
        <v/>
      </c>
      <c r="AR3" s="28">
        <f t="array" ref="AR3">SUMPRODUCT(
  --(CLEAN(TRIM(INDEX('Hipertensi - Puskesmas'!$AJ:$AU,0,COLUMN()-COLUMN($AJ$3)+1)))="Terkendali"),
  --('Hipertensi - Puskesmas'!$E:$E=TRUE)
)</f>
        <v/>
      </c>
      <c r="AS3" s="28">
        <f t="array" ref="AS3">SUMPRODUCT(
  --(CLEAN(TRIM(INDEX('Hipertensi - Puskesmas'!$AJ:$AU,0,COLUMN()-COLUMN($AJ$3)+1)))="Terkendali"),
  --('Hipertensi - Puskesmas'!$E:$E=TRUE)
)</f>
        <v/>
      </c>
      <c r="AT3" s="28">
        <f t="array" ref="AT3">SUMPRODUCT(
  --(CLEAN(TRIM(INDEX('Hipertensi - Puskesmas'!$AJ:$AU,0,COLUMN()-COLUMN($AJ$3)+1)))="Terkendali"),
  --('Hipertensi - Puskesmas'!$E:$E=TRUE)
)</f>
        <v/>
      </c>
      <c r="AU3" s="28">
        <f t="array" ref="AU3">SUMPRODUCT(
  --(CLEAN(TRIM(INDEX('Hipertensi - Puskesmas'!$AJ:$AU,0,COLUMN()-COLUMN($AJ$3)+1)))="Terkendali"),
  --('Hipertensi - Puskesmas'!$E:$E=TRUE)
)</f>
        <v/>
      </c>
      <c r="AW3" s="28">
        <f t="array" ref="AW3">SUMPRODUCT(
  --(CLEAN(TRIM('Hipertensi - Puskesmas'!AE:AE))="Terkendali"),
  --('Hipertensi - Puskesmas'!$E:$E=FALSE)
)</f>
        <v/>
      </c>
      <c r="AX3" s="28">
        <f t="array" ref="AX3">SUMPRODUCT(
  --(CLEAN(TRIM('Hipertensi - Puskesmas'!AF:AF))="Terkendali"),
  --('Hipertensi - Puskesmas'!$E:$E=FALSE)
)</f>
        <v/>
      </c>
      <c r="AY3" s="28">
        <f t="array" ref="AY3">SUMPRODUCT(
  --(CLEAN(TRIM('Hipertensi - Puskesmas'!AG:AG))="Terkendali"),
  --('Hipertensi - Puskesmas'!$E:$E=FALSE)
)</f>
        <v/>
      </c>
      <c r="AZ3" s="28">
        <f t="array" ref="AZ3">SUMPRODUCT(
  --(CLEAN(TRIM('Hipertensi - Puskesmas'!AH:AH))="Terkendali"),
  --('Hipertensi - Puskesmas'!$E:$E=FALSE)
)</f>
        <v/>
      </c>
      <c r="BA3" s="28">
        <f t="array" ref="BA3">SUMPRODUCT(
  --(CLEAN(TRIM('Hipertensi - Puskesmas'!AI:AI))="Terkendali"),
  --('Hipertensi - Puskesmas'!$E:$E=FALSE)
)</f>
        <v/>
      </c>
      <c r="BB3" s="28">
        <f t="array" ref="BB3">SUMPRODUCT(
  --(CLEAN(TRIM(INDEX('Hipertensi - Puskesmas'!$AJ:$AU,0,COLUMN()-COLUMN($BB$3)+1)))="Terkendali"),
  --('Hipertensi - Puskesmas'!$E:$E=FALSE)
)</f>
        <v/>
      </c>
      <c r="BC3" s="28">
        <f t="array" ref="BC3">SUMPRODUCT(
  --(CLEAN(TRIM(INDEX('Hipertensi - Puskesmas'!$AJ:$AU,0,COLUMN()-COLUMN($BB$3)+1)))="Terkendali"),
  --('Hipertensi - Puskesmas'!$E:$E=FALSE)
)</f>
        <v/>
      </c>
      <c r="BD3" s="28">
        <f t="array" ref="BD3">SUMPRODUCT(
  --(CLEAN(TRIM(INDEX('Hipertensi - Puskesmas'!$AJ:$AU,0,COLUMN()-COLUMN($BB$3)+1)))="Terkendali"),
  --('Hipertensi - Puskesmas'!$E:$E=FALSE)
)</f>
        <v/>
      </c>
      <c r="BE3" s="28">
        <f t="array" ref="BE3">SUMPRODUCT(
  --(CLEAN(TRIM(INDEX('Hipertensi - Puskesmas'!$AJ:$AU,0,COLUMN()-COLUMN($BB$3)+1)))="Terkendali"),
  --('Hipertensi - Puskesmas'!$E:$E=FALSE)
)</f>
        <v/>
      </c>
      <c r="BF3" s="28">
        <f t="array" ref="BF3">SUMPRODUCT(
  --(CLEAN(TRIM(INDEX('Hipertensi - Puskesmas'!$AJ:$AU,0,COLUMN()-COLUMN($BB$3)+1)))="Terkendali"),
  --('Hipertensi - Puskesmas'!$E:$E=FALSE)
)</f>
        <v/>
      </c>
      <c r="BG3" s="28">
        <f t="array" ref="BG3">SUMPRODUCT(
  --(CLEAN(TRIM(INDEX('Hipertensi - Puskesmas'!$AJ:$AU,0,COLUMN()-COLUMN($BB$3)+1)))="Terkendali"),
  --('Hipertensi - Puskesmas'!$E:$E=FALSE)
)</f>
        <v/>
      </c>
      <c r="BH3" s="28">
        <f t="array" ref="BH3">SUMPRODUCT(
  --(CLEAN(TRIM(INDEX('Hipertensi - Puskesmas'!$AJ:$AU,0,COLUMN()-COLUMN($BB$3)+1)))="Terkendali"),
  --('Hipertensi - Puskesmas'!$E:$E=FALSE)
)</f>
        <v/>
      </c>
      <c r="BI3" s="28">
        <f t="array" ref="BI3">SUMPRODUCT(
  --(CLEAN(TRIM(INDEX('Hipertensi - Puskesmas'!$AJ:$AU,0,COLUMN()-COLUMN($BB$3)+1)))="Terkendali"),
  --('Hipertensi - Puskesmas'!$E:$E=FALSE)
)</f>
        <v/>
      </c>
      <c r="BJ3" s="28">
        <f t="array" ref="BJ3">SUMPRODUCT(
  --(CLEAN(TRIM(INDEX('Hipertensi - Puskesmas'!$AJ:$AU,0,COLUMN()-COLUMN($BB$3)+1)))="Terkendali"),
  --('Hipertensi - Puskesmas'!$E:$E=FALSE)
)</f>
        <v/>
      </c>
      <c r="BK3" s="28">
        <f t="array" ref="BK3">SUMPRODUCT(
  --(CLEAN(TRIM(INDEX('Hipertensi - Puskesmas'!$AJ:$AU,0,COLUMN()-COLUMN($BB$3)+1)))="Terkendali"),
  --('Hipertensi - Puskesmas'!$E:$E=FALSE)
)</f>
        <v/>
      </c>
      <c r="BL3" s="28">
        <f t="array" ref="BL3">SUMPRODUCT(
  --(CLEAN(TRIM(INDEX('Hipertensi - Puskesmas'!$AJ:$AU,0,COLUMN()-COLUMN($BB$3)+1)))="Terkendali"),
  --('Hipertensi - Puskesmas'!$E:$E=FALSE)
)</f>
        <v/>
      </c>
      <c r="BM3" s="28">
        <f t="array" ref="BM3">SUMPRODUCT(
  --(CLEAN(TRIM(INDEX('Hipertensi - Puskesmas'!$AJ:$AU,0,COLUMN()-COLUMN($BB$3)+1)))="Terkendali"),
  --('Hipertensi - Puskesmas'!$E:$E=FALSE)
)</f>
        <v/>
      </c>
    </row>
    <row r="4" ht="14.25" customHeight="1" s="77"/>
    <row r="5" ht="14.25" customHeight="1" s="77"/>
    <row r="6" ht="14.25" customHeight="1" s="77"/>
    <row r="7" ht="14.25" customHeight="1" s="77"/>
    <row r="8" ht="14.25" customHeight="1" s="77"/>
    <row r="9" ht="14.25" customHeight="1" s="77"/>
    <row r="10" ht="14.25" customHeight="1" s="77"/>
    <row r="11" ht="14.25" customHeight="1" s="77"/>
    <row r="12" ht="14.25" customHeight="1" s="77"/>
    <row r="13" ht="14.25" customHeight="1" s="77"/>
    <row r="14" ht="14.25" customHeight="1" s="77"/>
    <row r="15" ht="14.25" customHeight="1" s="77"/>
    <row r="16" ht="14.25" customHeight="1" s="77"/>
    <row r="17" ht="14.25" customHeight="1" s="77"/>
    <row r="18" ht="14.25" customHeight="1" s="77"/>
    <row r="19" ht="14.25" customHeight="1" s="77"/>
    <row r="20" ht="14.25" customHeight="1" s="77"/>
    <row r="21" ht="14.25" customHeight="1" s="77"/>
    <row r="22" ht="14.25" customHeight="1" s="77"/>
    <row r="23" ht="14.25" customHeight="1" s="77"/>
    <row r="24" ht="14.25" customHeight="1" s="77"/>
    <row r="25" ht="14.25" customHeight="1" s="77"/>
    <row r="26" ht="14.25" customHeight="1" s="77"/>
    <row r="27" ht="14.25" customHeight="1" s="77"/>
    <row r="28" ht="14.25" customHeight="1" s="77"/>
    <row r="29" ht="14.25" customHeight="1" s="77"/>
    <row r="30" ht="14.25" customHeight="1" s="77"/>
    <row r="31" ht="14.25" customHeight="1" s="77"/>
    <row r="32" ht="14.25" customHeight="1" s="77"/>
    <row r="33" ht="14.25" customHeight="1" s="77"/>
    <row r="34" ht="14.25" customHeight="1" s="77"/>
    <row r="35" ht="14.25" customHeight="1" s="77"/>
    <row r="36" ht="14.25" customHeight="1" s="77"/>
    <row r="37" ht="14.25" customHeight="1" s="77"/>
    <row r="38" ht="14.25" customHeight="1" s="77"/>
    <row r="39" ht="14.25" customHeight="1" s="77"/>
    <row r="40" ht="14.25" customHeight="1" s="77"/>
    <row r="41" ht="14.25" customHeight="1" s="77"/>
    <row r="42" ht="14.25" customHeight="1" s="77"/>
    <row r="43" ht="14.25" customHeight="1" s="77"/>
    <row r="44" ht="14.25" customHeight="1" s="77"/>
    <row r="45" ht="14.25" customHeight="1" s="77"/>
    <row r="46" ht="14.25" customHeight="1" s="77"/>
    <row r="47" ht="14.25" customHeight="1" s="77"/>
    <row r="48" ht="14.25" customHeight="1" s="77"/>
    <row r="49" ht="14.25" customHeight="1" s="77"/>
    <row r="50" ht="14.25" customHeight="1" s="77"/>
    <row r="51" ht="14.25" customHeight="1" s="77"/>
    <row r="52" ht="14.25" customHeight="1" s="77"/>
    <row r="53" ht="14.25" customHeight="1" s="77"/>
    <row r="54" ht="14.25" customHeight="1" s="77"/>
    <row r="55" ht="14.25" customHeight="1" s="77"/>
    <row r="56" ht="14.25" customHeight="1" s="77"/>
    <row r="57" ht="14.25" customHeight="1" s="77"/>
    <row r="58" ht="14.25" customHeight="1" s="77"/>
    <row r="59" ht="14.25" customHeight="1" s="77"/>
    <row r="60" ht="14.25" customHeight="1" s="77"/>
    <row r="61" ht="14.25" customHeight="1" s="77"/>
    <row r="62" ht="14.25" customHeight="1" s="77"/>
    <row r="63" ht="14.25" customHeight="1" s="77"/>
    <row r="64" ht="14.25" customHeight="1" s="77"/>
    <row r="65" ht="14.25" customHeight="1" s="77"/>
    <row r="66" ht="14.25" customHeight="1" s="77"/>
    <row r="67" ht="14.25" customHeight="1" s="77"/>
    <row r="68" ht="14.25" customHeight="1" s="77"/>
    <row r="69" ht="14.25" customHeight="1" s="77"/>
    <row r="70" ht="14.25" customHeight="1" s="77"/>
    <row r="71" ht="14.25" customHeight="1" s="77"/>
    <row r="72" ht="14.25" customHeight="1" s="77"/>
    <row r="73" ht="14.25" customHeight="1" s="77"/>
    <row r="74" ht="14.25" customHeight="1" s="77"/>
    <row r="75" ht="14.25" customHeight="1" s="77"/>
    <row r="76" ht="14.25" customHeight="1" s="77"/>
    <row r="77" ht="14.25" customHeight="1" s="77"/>
    <row r="78" ht="14.25" customHeight="1" s="77"/>
    <row r="79" ht="14.25" customHeight="1" s="77"/>
    <row r="80" ht="14.25" customHeight="1" s="77"/>
    <row r="81" ht="14.25" customHeight="1" s="77"/>
    <row r="82" ht="14.25" customHeight="1" s="77"/>
    <row r="83" ht="14.25" customHeight="1" s="77"/>
    <row r="84" ht="14.25" customHeight="1" s="77"/>
    <row r="85" ht="14.25" customHeight="1" s="77"/>
    <row r="86" ht="14.25" customHeight="1" s="77"/>
    <row r="87" ht="14.25" customHeight="1" s="77"/>
    <row r="88" ht="14.25" customHeight="1" s="77"/>
    <row r="89" ht="14.25" customHeight="1" s="77"/>
    <row r="90" ht="14.25" customHeight="1" s="77"/>
    <row r="91" ht="14.25" customHeight="1" s="77"/>
    <row r="92" ht="14.25" customHeight="1" s="77"/>
    <row r="93" ht="14.25" customHeight="1" s="77"/>
    <row r="94" ht="14.25" customHeight="1" s="77"/>
    <row r="95" ht="14.25" customHeight="1" s="77"/>
    <row r="96" ht="14.25" customHeight="1" s="77"/>
    <row r="97" ht="14.25" customHeight="1" s="77"/>
    <row r="98" ht="14.25" customHeight="1" s="77"/>
    <row r="99" ht="14.25" customHeight="1" s="77"/>
    <row r="100" ht="14.25" customHeight="1" s="77"/>
    <row r="101" ht="14.25" customHeight="1" s="77"/>
    <row r="102" ht="14.25" customHeight="1" s="77"/>
    <row r="103" ht="14.25" customHeight="1" s="77"/>
    <row r="104" ht="14.25" customHeight="1" s="77"/>
    <row r="105" ht="14.25" customHeight="1" s="77"/>
    <row r="106" ht="14.25" customHeight="1" s="77"/>
    <row r="107" ht="14.25" customHeight="1" s="77"/>
    <row r="108" ht="14.25" customHeight="1" s="77"/>
    <row r="109" ht="14.25" customHeight="1" s="77"/>
    <row r="110" ht="14.25" customHeight="1" s="77"/>
    <row r="111" ht="14.25" customHeight="1" s="77"/>
    <row r="112" ht="14.25" customHeight="1" s="77"/>
    <row r="113" ht="14.25" customHeight="1" s="77"/>
    <row r="114" ht="14.25" customHeight="1" s="77"/>
    <row r="115" ht="14.25" customHeight="1" s="77"/>
    <row r="116" ht="14.25" customHeight="1" s="77"/>
    <row r="117" ht="14.25" customHeight="1" s="77"/>
    <row r="118" ht="14.25" customHeight="1" s="77"/>
    <row r="119" ht="14.25" customHeight="1" s="77"/>
    <row r="120" ht="14.25" customHeight="1" s="77"/>
    <row r="121" ht="14.25" customHeight="1" s="77"/>
    <row r="122" ht="14.25" customHeight="1" s="77"/>
    <row r="123" ht="14.25" customHeight="1" s="77"/>
    <row r="124" ht="14.25" customHeight="1" s="77"/>
    <row r="125" ht="14.25" customHeight="1" s="77"/>
    <row r="126" ht="14.25" customHeight="1" s="77"/>
    <row r="127" ht="14.25" customHeight="1" s="77"/>
    <row r="128" ht="14.25" customHeight="1" s="77"/>
    <row r="129" ht="14.25" customHeight="1" s="77"/>
    <row r="130" ht="14.25" customHeight="1" s="77"/>
    <row r="131" ht="14.25" customHeight="1" s="77"/>
    <row r="132" ht="14.25" customHeight="1" s="77"/>
    <row r="133" ht="14.25" customHeight="1" s="77"/>
    <row r="134" ht="14.25" customHeight="1" s="77"/>
    <row r="135" ht="14.25" customHeight="1" s="77"/>
    <row r="136" ht="14.25" customHeight="1" s="77"/>
    <row r="137" ht="14.25" customHeight="1" s="77"/>
    <row r="138" ht="14.25" customHeight="1" s="77"/>
    <row r="139" ht="14.25" customHeight="1" s="77"/>
    <row r="140" ht="14.25" customHeight="1" s="77"/>
    <row r="141" ht="14.25" customHeight="1" s="77"/>
    <row r="142" ht="14.25" customHeight="1" s="77"/>
    <row r="143" ht="14.25" customHeight="1" s="77"/>
    <row r="144" ht="14.25" customHeight="1" s="77"/>
    <row r="145" ht="14.25" customHeight="1" s="77"/>
    <row r="146" ht="14.25" customHeight="1" s="77"/>
    <row r="147" ht="14.25" customHeight="1" s="77"/>
    <row r="148" ht="14.25" customHeight="1" s="77"/>
    <row r="149" ht="14.25" customHeight="1" s="77"/>
    <row r="150" ht="14.25" customHeight="1" s="77"/>
    <row r="151" ht="14.25" customHeight="1" s="77"/>
    <row r="152" ht="14.25" customHeight="1" s="77"/>
    <row r="153" ht="14.25" customHeight="1" s="77"/>
    <row r="154" ht="14.25" customHeight="1" s="77"/>
    <row r="155" ht="14.25" customHeight="1" s="77"/>
    <row r="156" ht="14.25" customHeight="1" s="77"/>
    <row r="157" ht="14.25" customHeight="1" s="77"/>
    <row r="158" ht="14.25" customHeight="1" s="77"/>
    <row r="159" ht="14.25" customHeight="1" s="77"/>
    <row r="160" ht="14.25" customHeight="1" s="77"/>
    <row r="161" ht="14.25" customHeight="1" s="77"/>
    <row r="162" ht="14.25" customHeight="1" s="77"/>
    <row r="163" ht="14.25" customHeight="1" s="77"/>
    <row r="164" ht="14.25" customHeight="1" s="77"/>
    <row r="165" ht="14.25" customHeight="1" s="77"/>
    <row r="166" ht="14.25" customHeight="1" s="77"/>
    <row r="167" ht="14.25" customHeight="1" s="77"/>
    <row r="168" ht="14.25" customHeight="1" s="77"/>
    <row r="169" ht="14.25" customHeight="1" s="77"/>
    <row r="170" ht="14.25" customHeight="1" s="77"/>
    <row r="171" ht="14.25" customHeight="1" s="77"/>
    <row r="172" ht="14.25" customHeight="1" s="77"/>
    <row r="173" ht="14.25" customHeight="1" s="77"/>
    <row r="174" ht="14.25" customHeight="1" s="77"/>
    <row r="175" ht="14.25" customHeight="1" s="77"/>
    <row r="176" ht="14.25" customHeight="1" s="77"/>
    <row r="177" ht="14.25" customHeight="1" s="77"/>
    <row r="178" ht="14.25" customHeight="1" s="77"/>
    <row r="179" ht="14.25" customHeight="1" s="77"/>
    <row r="180" ht="14.25" customHeight="1" s="77"/>
    <row r="181" ht="14.25" customHeight="1" s="77"/>
    <row r="182" ht="14.25" customHeight="1" s="77"/>
    <row r="183" ht="14.25" customHeight="1" s="77"/>
    <row r="184" ht="14.25" customHeight="1" s="77"/>
    <row r="185" ht="14.25" customHeight="1" s="77"/>
    <row r="186" ht="14.25" customHeight="1" s="77"/>
    <row r="187" ht="14.25" customHeight="1" s="77"/>
    <row r="188" ht="14.25" customHeight="1" s="77"/>
    <row r="189" ht="14.25" customHeight="1" s="77"/>
    <row r="190" ht="14.25" customHeight="1" s="77"/>
    <row r="191" ht="14.25" customHeight="1" s="77"/>
    <row r="192" ht="14.25" customHeight="1" s="77"/>
    <row r="193" ht="14.25" customHeight="1" s="77"/>
    <row r="194" ht="14.25" customHeight="1" s="77"/>
    <row r="195" ht="14.25" customHeight="1" s="77"/>
    <row r="196" ht="14.25" customHeight="1" s="77"/>
    <row r="197" ht="14.25" customHeight="1" s="77"/>
    <row r="198" ht="14.25" customHeight="1" s="77"/>
    <row r="199" ht="14.25" customHeight="1" s="77"/>
    <row r="200" ht="14.25" customHeight="1" s="77"/>
    <row r="201" ht="14.25" customHeight="1" s="77"/>
    <row r="202" ht="14.25" customHeight="1" s="77"/>
    <row r="203" ht="14.25" customHeight="1" s="77"/>
    <row r="204" ht="14.25" customHeight="1" s="77"/>
    <row r="205" ht="14.25" customHeight="1" s="77"/>
    <row r="206" ht="14.25" customHeight="1" s="77"/>
    <row r="207" ht="14.25" customHeight="1" s="77"/>
    <row r="208" ht="14.25" customHeight="1" s="77"/>
    <row r="209" ht="14.25" customHeight="1" s="77"/>
    <row r="210" ht="14.25" customHeight="1" s="77"/>
    <row r="211" ht="14.25" customHeight="1" s="77"/>
    <row r="212" ht="14.25" customHeight="1" s="77"/>
    <row r="213" ht="14.25" customHeight="1" s="77"/>
    <row r="214" ht="14.25" customHeight="1" s="77"/>
    <row r="215" ht="14.25" customHeight="1" s="77"/>
    <row r="216" ht="14.25" customHeight="1" s="77"/>
    <row r="217" ht="14.25" customHeight="1" s="77"/>
    <row r="218" ht="14.25" customHeight="1" s="77"/>
    <row r="219" ht="14.25" customHeight="1" s="77"/>
    <row r="220" ht="14.25" customHeight="1" s="77"/>
    <row r="221" ht="14.25" customHeight="1" s="77"/>
    <row r="222" ht="14.25" customHeight="1" s="77"/>
    <row r="223" ht="14.25" customHeight="1" s="77"/>
    <row r="224" ht="14.25" customHeight="1" s="77"/>
    <row r="225" ht="14.25" customHeight="1" s="77"/>
    <row r="226" ht="14.25" customHeight="1" s="77"/>
    <row r="227" ht="14.25" customHeight="1" s="77"/>
    <row r="228" ht="14.25" customHeight="1" s="77"/>
    <row r="229" ht="14.25" customHeight="1" s="77"/>
    <row r="230" ht="14.25" customHeight="1" s="77"/>
    <row r="231" ht="14.25" customHeight="1" s="77"/>
    <row r="232" ht="14.25" customHeight="1" s="77"/>
    <row r="233" ht="14.25" customHeight="1" s="77"/>
    <row r="234" ht="14.25" customHeight="1" s="77"/>
    <row r="235" ht="14.25" customHeight="1" s="77"/>
    <row r="236" ht="14.25" customHeight="1" s="77"/>
    <row r="237" ht="14.25" customHeight="1" s="77"/>
    <row r="238" ht="14.25" customHeight="1" s="77"/>
    <row r="239" ht="14.25" customHeight="1" s="77"/>
    <row r="240" ht="14.25" customHeight="1" s="77"/>
    <row r="241" ht="14.25" customHeight="1" s="77"/>
    <row r="242" ht="14.25" customHeight="1" s="77"/>
    <row r="243" ht="14.25" customHeight="1" s="77"/>
    <row r="244" ht="14.25" customHeight="1" s="77"/>
    <row r="245" ht="14.25" customHeight="1" s="77"/>
    <row r="246" ht="14.25" customHeight="1" s="77"/>
    <row r="247" ht="14.25" customHeight="1" s="77"/>
    <row r="248" ht="14.25" customHeight="1" s="77"/>
    <row r="249" ht="14.25" customHeight="1" s="77"/>
    <row r="250" ht="14.25" customHeight="1" s="77"/>
    <row r="251" ht="14.25" customHeight="1" s="77"/>
    <row r="252" ht="14.25" customHeight="1" s="77"/>
    <row r="253" ht="14.25" customHeight="1" s="77"/>
    <row r="254" ht="14.25" customHeight="1" s="77"/>
    <row r="255" ht="14.25" customHeight="1" s="77"/>
    <row r="256" ht="14.25" customHeight="1" s="77"/>
    <row r="257" ht="14.25" customHeight="1" s="77"/>
    <row r="258" ht="14.25" customHeight="1" s="77"/>
    <row r="259" ht="14.25" customHeight="1" s="77"/>
    <row r="260" ht="14.25" customHeight="1" s="77"/>
    <row r="261" ht="14.25" customHeight="1" s="77"/>
    <row r="262" ht="14.25" customHeight="1" s="77"/>
    <row r="263" ht="14.25" customHeight="1" s="77"/>
    <row r="264" ht="14.25" customHeight="1" s="77"/>
    <row r="265" ht="14.25" customHeight="1" s="77"/>
    <row r="266" ht="14.25" customHeight="1" s="77"/>
    <row r="267" ht="14.25" customHeight="1" s="77"/>
    <row r="268" ht="14.25" customHeight="1" s="77"/>
    <row r="269" ht="14.25" customHeight="1" s="77"/>
    <row r="270" ht="14.25" customHeight="1" s="77"/>
    <row r="271" ht="14.25" customHeight="1" s="77"/>
    <row r="272" ht="14.25" customHeight="1" s="77"/>
    <row r="273" ht="14.25" customHeight="1" s="77"/>
    <row r="274" ht="14.25" customHeight="1" s="77"/>
    <row r="275" ht="14.25" customHeight="1" s="77"/>
    <row r="276" ht="14.25" customHeight="1" s="77"/>
    <row r="277" ht="14.25" customHeight="1" s="77"/>
    <row r="278" ht="14.25" customHeight="1" s="77"/>
    <row r="279" ht="14.25" customHeight="1" s="77"/>
    <row r="280" ht="14.25" customHeight="1" s="77"/>
    <row r="281" ht="14.25" customHeight="1" s="77"/>
    <row r="282" ht="14.25" customHeight="1" s="77"/>
    <row r="283" ht="14.25" customHeight="1" s="77"/>
    <row r="284" ht="14.25" customHeight="1" s="77"/>
    <row r="285" ht="14.25" customHeight="1" s="77"/>
    <row r="286" ht="14.25" customHeight="1" s="77"/>
    <row r="287" ht="14.25" customHeight="1" s="77"/>
    <row r="288" ht="14.25" customHeight="1" s="77"/>
    <row r="289" ht="14.25" customHeight="1" s="77"/>
    <row r="290" ht="14.25" customHeight="1" s="77"/>
    <row r="291" ht="14.25" customHeight="1" s="77"/>
    <row r="292" ht="14.25" customHeight="1" s="77"/>
    <row r="293" ht="14.25" customHeight="1" s="77"/>
    <row r="294" ht="14.25" customHeight="1" s="77"/>
    <row r="295" ht="14.25" customHeight="1" s="77"/>
    <row r="296" ht="14.25" customHeight="1" s="77"/>
    <row r="297" ht="14.25" customHeight="1" s="77"/>
    <row r="298" ht="14.25" customHeight="1" s="77"/>
    <row r="299" ht="14.25" customHeight="1" s="77"/>
    <row r="300" ht="14.25" customHeight="1" s="77"/>
    <row r="301" ht="14.25" customHeight="1" s="77"/>
    <row r="302" ht="14.25" customHeight="1" s="77"/>
    <row r="303" ht="14.25" customHeight="1" s="77"/>
    <row r="304" ht="14.25" customHeight="1" s="77"/>
    <row r="305" ht="14.25" customHeight="1" s="77"/>
    <row r="306" ht="14.25" customHeight="1" s="77"/>
    <row r="307" ht="14.25" customHeight="1" s="77"/>
    <row r="308" ht="14.25" customHeight="1" s="77"/>
    <row r="309" ht="14.25" customHeight="1" s="77"/>
    <row r="310" ht="14.25" customHeight="1" s="77"/>
    <row r="311" ht="14.25" customHeight="1" s="77"/>
    <row r="312" ht="14.25" customHeight="1" s="77"/>
    <row r="313" ht="14.25" customHeight="1" s="77"/>
    <row r="314" ht="14.25" customHeight="1" s="77"/>
    <row r="315" ht="14.25" customHeight="1" s="77"/>
    <row r="316" ht="14.25" customHeight="1" s="77"/>
    <row r="317" ht="14.25" customHeight="1" s="77"/>
    <row r="318" ht="14.25" customHeight="1" s="77"/>
    <row r="319" ht="14.25" customHeight="1" s="77"/>
    <row r="320" ht="14.25" customHeight="1" s="77"/>
    <row r="321" ht="14.25" customHeight="1" s="77"/>
    <row r="322" ht="14.25" customHeight="1" s="77"/>
    <row r="323" ht="14.25" customHeight="1" s="77"/>
    <row r="324" ht="14.25" customHeight="1" s="77"/>
    <row r="325" ht="14.25" customHeight="1" s="77"/>
    <row r="326" ht="14.25" customHeight="1" s="77"/>
    <row r="327" ht="14.25" customHeight="1" s="77"/>
    <row r="328" ht="14.25" customHeight="1" s="77"/>
    <row r="329" ht="14.25" customHeight="1" s="77"/>
    <row r="330" ht="14.25" customHeight="1" s="77"/>
    <row r="331" ht="14.25" customHeight="1" s="77"/>
    <row r="332" ht="14.25" customHeight="1" s="77"/>
    <row r="333" ht="14.25" customHeight="1" s="77"/>
    <row r="334" ht="14.25" customHeight="1" s="77"/>
    <row r="335" ht="14.25" customHeight="1" s="77"/>
    <row r="336" ht="14.25" customHeight="1" s="77"/>
    <row r="337" ht="14.25" customHeight="1" s="77"/>
    <row r="338" ht="14.25" customHeight="1" s="77"/>
    <row r="339" ht="14.25" customHeight="1" s="77"/>
    <row r="340" ht="14.25" customHeight="1" s="77"/>
    <row r="341" ht="14.25" customHeight="1" s="77"/>
    <row r="342" ht="14.25" customHeight="1" s="77"/>
    <row r="343" ht="14.25" customHeight="1" s="77"/>
    <row r="344" ht="14.25" customHeight="1" s="77"/>
    <row r="345" ht="14.25" customHeight="1" s="77"/>
    <row r="346" ht="14.25" customHeight="1" s="77"/>
    <row r="347" ht="14.25" customHeight="1" s="77"/>
    <row r="348" ht="14.25" customHeight="1" s="77"/>
    <row r="349" ht="14.25" customHeight="1" s="77"/>
    <row r="350" ht="14.25" customHeight="1" s="77"/>
    <row r="351" ht="14.25" customHeight="1" s="77"/>
    <row r="352" ht="14.25" customHeight="1" s="77"/>
    <row r="353" ht="14.25" customHeight="1" s="77"/>
    <row r="354" ht="14.25" customHeight="1" s="77"/>
    <row r="355" ht="14.25" customHeight="1" s="77"/>
    <row r="356" ht="14.25" customHeight="1" s="77"/>
    <row r="357" ht="14.25" customHeight="1" s="77"/>
    <row r="358" ht="14.25" customHeight="1" s="77"/>
    <row r="359" ht="14.25" customHeight="1" s="77"/>
    <row r="360" ht="14.25" customHeight="1" s="77"/>
    <row r="361" ht="14.25" customHeight="1" s="77"/>
    <row r="362" ht="14.25" customHeight="1" s="77"/>
    <row r="363" ht="14.25" customHeight="1" s="77"/>
    <row r="364" ht="14.25" customHeight="1" s="77"/>
    <row r="365" ht="14.25" customHeight="1" s="77"/>
    <row r="366" ht="14.25" customHeight="1" s="77"/>
    <row r="367" ht="14.25" customHeight="1" s="77"/>
    <row r="368" ht="14.25" customHeight="1" s="77"/>
    <row r="369" ht="14.25" customHeight="1" s="77"/>
    <row r="370" ht="14.25" customHeight="1" s="77"/>
    <row r="371" ht="14.25" customHeight="1" s="77"/>
    <row r="372" ht="14.25" customHeight="1" s="77"/>
    <row r="373" ht="14.25" customHeight="1" s="77"/>
    <row r="374" ht="14.25" customHeight="1" s="77"/>
    <row r="375" ht="14.25" customHeight="1" s="77"/>
    <row r="376" ht="14.25" customHeight="1" s="77"/>
    <row r="377" ht="14.25" customHeight="1" s="77"/>
    <row r="378" ht="14.25" customHeight="1" s="77"/>
    <row r="379" ht="14.25" customHeight="1" s="77"/>
    <row r="380" ht="14.25" customHeight="1" s="77"/>
    <row r="381" ht="14.25" customHeight="1" s="77"/>
    <row r="382" ht="14.25" customHeight="1" s="77"/>
    <row r="383" ht="14.25" customHeight="1" s="77"/>
    <row r="384" ht="14.25" customHeight="1" s="77"/>
    <row r="385" ht="14.25" customHeight="1" s="77"/>
    <row r="386" ht="14.25" customHeight="1" s="77"/>
    <row r="387" ht="14.25" customHeight="1" s="77"/>
    <row r="388" ht="14.25" customHeight="1" s="77"/>
    <row r="389" ht="14.25" customHeight="1" s="77"/>
    <row r="390" ht="14.25" customHeight="1" s="77"/>
    <row r="391" ht="14.25" customHeight="1" s="77"/>
    <row r="392" ht="14.25" customHeight="1" s="77"/>
    <row r="393" ht="14.25" customHeight="1" s="77"/>
    <row r="394" ht="14.25" customHeight="1" s="77"/>
    <row r="395" ht="14.25" customHeight="1" s="77"/>
    <row r="396" ht="14.25" customHeight="1" s="77"/>
    <row r="397" ht="14.25" customHeight="1" s="77"/>
    <row r="398" ht="14.25" customHeight="1" s="77"/>
    <row r="399" ht="14.25" customHeight="1" s="77"/>
    <row r="400" ht="14.25" customHeight="1" s="77"/>
    <row r="401" ht="14.25" customHeight="1" s="77"/>
    <row r="402" ht="14.25" customHeight="1" s="77"/>
    <row r="403" ht="14.25" customHeight="1" s="77"/>
    <row r="404" ht="14.25" customHeight="1" s="77"/>
    <row r="405" ht="14.25" customHeight="1" s="77"/>
    <row r="406" ht="14.25" customHeight="1" s="77"/>
    <row r="407" ht="14.25" customHeight="1" s="77"/>
    <row r="408" ht="14.25" customHeight="1" s="77"/>
    <row r="409" ht="14.25" customHeight="1" s="77"/>
    <row r="410" ht="14.25" customHeight="1" s="77"/>
    <row r="411" ht="14.25" customHeight="1" s="77"/>
    <row r="412" ht="14.25" customHeight="1" s="77"/>
    <row r="413" ht="14.25" customHeight="1" s="77"/>
    <row r="414" ht="14.25" customHeight="1" s="77"/>
    <row r="415" ht="14.25" customHeight="1" s="77"/>
    <row r="416" ht="14.25" customHeight="1" s="77"/>
    <row r="417" ht="14.25" customHeight="1" s="77"/>
    <row r="418" ht="14.25" customHeight="1" s="77"/>
    <row r="419" ht="14.25" customHeight="1" s="77"/>
    <row r="420" ht="14.25" customHeight="1" s="77"/>
    <row r="421" ht="14.25" customHeight="1" s="77"/>
    <row r="422" ht="14.25" customHeight="1" s="77"/>
    <row r="423" ht="14.25" customHeight="1" s="77"/>
    <row r="424" ht="14.25" customHeight="1" s="77"/>
    <row r="425" ht="14.25" customHeight="1" s="77"/>
    <row r="426" ht="14.25" customHeight="1" s="77"/>
    <row r="427" ht="14.25" customHeight="1" s="77"/>
    <row r="428" ht="14.25" customHeight="1" s="77"/>
    <row r="429" ht="14.25" customHeight="1" s="77"/>
    <row r="430" ht="14.25" customHeight="1" s="77"/>
    <row r="431" ht="14.25" customHeight="1" s="77"/>
    <row r="432" ht="14.25" customHeight="1" s="77"/>
    <row r="433" ht="14.25" customHeight="1" s="77"/>
    <row r="434" ht="14.25" customHeight="1" s="77"/>
    <row r="435" ht="14.25" customHeight="1" s="77"/>
    <row r="436" ht="14.25" customHeight="1" s="77"/>
    <row r="437" ht="14.25" customHeight="1" s="77"/>
    <row r="438" ht="14.25" customHeight="1" s="77"/>
    <row r="439" ht="14.25" customHeight="1" s="77"/>
    <row r="440" ht="14.25" customHeight="1" s="77"/>
    <row r="441" ht="14.25" customHeight="1" s="77"/>
    <row r="442" ht="14.25" customHeight="1" s="77"/>
    <row r="443" ht="14.25" customHeight="1" s="77"/>
    <row r="444" ht="14.25" customHeight="1" s="77"/>
    <row r="445" ht="14.25" customHeight="1" s="77"/>
    <row r="446" ht="14.25" customHeight="1" s="77"/>
    <row r="447" ht="14.25" customHeight="1" s="77"/>
    <row r="448" ht="14.25" customHeight="1" s="77"/>
    <row r="449" ht="14.25" customHeight="1" s="77"/>
    <row r="450" ht="14.25" customHeight="1" s="77"/>
    <row r="451" ht="14.25" customHeight="1" s="77"/>
    <row r="452" ht="14.25" customHeight="1" s="77"/>
    <row r="453" ht="14.25" customHeight="1" s="77"/>
    <row r="454" ht="14.25" customHeight="1" s="77"/>
    <row r="455" ht="14.25" customHeight="1" s="77"/>
    <row r="456" ht="14.25" customHeight="1" s="77"/>
    <row r="457" ht="14.25" customHeight="1" s="77"/>
    <row r="458" ht="14.25" customHeight="1" s="77"/>
    <row r="459" ht="14.25" customHeight="1" s="77"/>
    <row r="460" ht="14.25" customHeight="1" s="77"/>
    <row r="461" ht="14.25" customHeight="1" s="77"/>
    <row r="462" ht="14.25" customHeight="1" s="77"/>
    <row r="463" ht="14.25" customHeight="1" s="77"/>
    <row r="464" ht="14.25" customHeight="1" s="77"/>
    <row r="465" ht="14.25" customHeight="1" s="77"/>
    <row r="466" ht="14.25" customHeight="1" s="77"/>
    <row r="467" ht="14.25" customHeight="1" s="77"/>
    <row r="468" ht="14.25" customHeight="1" s="77"/>
    <row r="469" ht="14.25" customHeight="1" s="77"/>
    <row r="470" ht="14.25" customHeight="1" s="77"/>
    <row r="471" ht="14.25" customHeight="1" s="77"/>
    <row r="472" ht="14.25" customHeight="1" s="77"/>
    <row r="473" ht="14.25" customHeight="1" s="77"/>
    <row r="474" ht="14.25" customHeight="1" s="77"/>
    <row r="475" ht="14.25" customHeight="1" s="77"/>
    <row r="476" ht="14.25" customHeight="1" s="77"/>
    <row r="477" ht="14.25" customHeight="1" s="77"/>
    <row r="478" ht="14.25" customHeight="1" s="77"/>
    <row r="479" ht="14.25" customHeight="1" s="77"/>
    <row r="480" ht="14.25" customHeight="1" s="77"/>
    <row r="481" ht="14.25" customHeight="1" s="77"/>
    <row r="482" ht="14.25" customHeight="1" s="77"/>
    <row r="483" ht="14.25" customHeight="1" s="77"/>
    <row r="484" ht="14.25" customHeight="1" s="77"/>
    <row r="485" ht="14.25" customHeight="1" s="77"/>
    <row r="486" ht="14.25" customHeight="1" s="77"/>
    <row r="487" ht="14.25" customHeight="1" s="77"/>
    <row r="488" ht="14.25" customHeight="1" s="77"/>
    <row r="489" ht="14.25" customHeight="1" s="77"/>
    <row r="490" ht="14.25" customHeight="1" s="77"/>
    <row r="491" ht="14.25" customHeight="1" s="77"/>
    <row r="492" ht="14.25" customHeight="1" s="77"/>
    <row r="493" ht="14.25" customHeight="1" s="77"/>
    <row r="494" ht="14.25" customHeight="1" s="77"/>
    <row r="495" ht="14.25" customHeight="1" s="77"/>
    <row r="496" ht="14.25" customHeight="1" s="77"/>
    <row r="497" ht="14.25" customHeight="1" s="77"/>
    <row r="498" ht="14.25" customHeight="1" s="77"/>
    <row r="499" ht="14.25" customHeight="1" s="77"/>
    <row r="500" ht="14.25" customHeight="1" s="77"/>
    <row r="501" ht="14.25" customHeight="1" s="77"/>
    <row r="502" ht="14.25" customHeight="1" s="77"/>
    <row r="503" ht="14.25" customHeight="1" s="77"/>
    <row r="504" ht="14.25" customHeight="1" s="77"/>
    <row r="505" ht="14.25" customHeight="1" s="77"/>
    <row r="506" ht="14.25" customHeight="1" s="77"/>
    <row r="507" ht="14.25" customHeight="1" s="77"/>
    <row r="508" ht="14.25" customHeight="1" s="77"/>
    <row r="509" ht="14.25" customHeight="1" s="77"/>
    <row r="510" ht="14.25" customHeight="1" s="77"/>
    <row r="511" ht="14.25" customHeight="1" s="77"/>
    <row r="512" ht="14.25" customHeight="1" s="77"/>
    <row r="513" ht="14.25" customHeight="1" s="77"/>
    <row r="514" ht="14.25" customHeight="1" s="77"/>
    <row r="515" ht="14.25" customHeight="1" s="77"/>
    <row r="516" ht="14.25" customHeight="1" s="77"/>
    <row r="517" ht="14.25" customHeight="1" s="77"/>
    <row r="518" ht="14.25" customHeight="1" s="77"/>
    <row r="519" ht="14.25" customHeight="1" s="77"/>
    <row r="520" ht="14.25" customHeight="1" s="77"/>
    <row r="521" ht="14.25" customHeight="1" s="77"/>
    <row r="522" ht="14.25" customHeight="1" s="77"/>
    <row r="523" ht="14.25" customHeight="1" s="77"/>
    <row r="524" ht="14.25" customHeight="1" s="77"/>
    <row r="525" ht="14.25" customHeight="1" s="77"/>
    <row r="526" ht="14.25" customHeight="1" s="77"/>
    <row r="527" ht="14.25" customHeight="1" s="77"/>
    <row r="528" ht="14.25" customHeight="1" s="77"/>
    <row r="529" ht="14.25" customHeight="1" s="77"/>
    <row r="530" ht="14.25" customHeight="1" s="77"/>
    <row r="531" ht="14.25" customHeight="1" s="77"/>
    <row r="532" ht="14.25" customHeight="1" s="77"/>
    <row r="533" ht="14.25" customHeight="1" s="77"/>
    <row r="534" ht="14.25" customHeight="1" s="77"/>
    <row r="535" ht="14.25" customHeight="1" s="77"/>
    <row r="536" ht="14.25" customHeight="1" s="77"/>
    <row r="537" ht="14.25" customHeight="1" s="77"/>
    <row r="538" ht="14.25" customHeight="1" s="77"/>
    <row r="539" ht="14.25" customHeight="1" s="77"/>
    <row r="540" ht="14.25" customHeight="1" s="77"/>
    <row r="541" ht="14.25" customHeight="1" s="77"/>
    <row r="542" ht="14.25" customHeight="1" s="77"/>
    <row r="543" ht="14.25" customHeight="1" s="77"/>
    <row r="544" ht="14.25" customHeight="1" s="77"/>
    <row r="545" ht="14.25" customHeight="1" s="77"/>
    <row r="546" ht="14.25" customHeight="1" s="77"/>
    <row r="547" ht="14.25" customHeight="1" s="77"/>
    <row r="548" ht="14.25" customHeight="1" s="77"/>
    <row r="549" ht="14.25" customHeight="1" s="77"/>
    <row r="550" ht="14.25" customHeight="1" s="77"/>
    <row r="551" ht="14.25" customHeight="1" s="77"/>
    <row r="552" ht="14.25" customHeight="1" s="77"/>
    <row r="553" ht="14.25" customHeight="1" s="77"/>
    <row r="554" ht="14.25" customHeight="1" s="77"/>
    <row r="555" ht="14.25" customHeight="1" s="77"/>
    <row r="556" ht="14.25" customHeight="1" s="77"/>
    <row r="557" ht="14.25" customHeight="1" s="77"/>
    <row r="558" ht="14.25" customHeight="1" s="77"/>
    <row r="559" ht="14.25" customHeight="1" s="77"/>
    <row r="560" ht="14.25" customHeight="1" s="77"/>
    <row r="561" ht="14.25" customHeight="1" s="77"/>
    <row r="562" ht="14.25" customHeight="1" s="77"/>
    <row r="563" ht="14.25" customHeight="1" s="77"/>
    <row r="564" ht="14.25" customHeight="1" s="77"/>
    <row r="565" ht="14.25" customHeight="1" s="77"/>
    <row r="566" ht="14.25" customHeight="1" s="77"/>
    <row r="567" ht="14.25" customHeight="1" s="77"/>
    <row r="568" ht="14.25" customHeight="1" s="77"/>
    <row r="569" ht="14.25" customHeight="1" s="77"/>
    <row r="570" ht="14.25" customHeight="1" s="77"/>
    <row r="571" ht="14.25" customHeight="1" s="77"/>
    <row r="572" ht="14.25" customHeight="1" s="77"/>
    <row r="573" ht="14.25" customHeight="1" s="77"/>
    <row r="574" ht="14.25" customHeight="1" s="77"/>
    <row r="575" ht="14.25" customHeight="1" s="77"/>
    <row r="576" ht="14.25" customHeight="1" s="77"/>
    <row r="577" ht="14.25" customHeight="1" s="77"/>
    <row r="578" ht="14.25" customHeight="1" s="77"/>
    <row r="579" ht="14.25" customHeight="1" s="77"/>
    <row r="580" ht="14.25" customHeight="1" s="77"/>
    <row r="581" ht="14.25" customHeight="1" s="77"/>
    <row r="582" ht="14.25" customHeight="1" s="77"/>
    <row r="583" ht="14.25" customHeight="1" s="77"/>
    <row r="584" ht="14.25" customHeight="1" s="77"/>
    <row r="585" ht="14.25" customHeight="1" s="77"/>
    <row r="586" ht="14.25" customHeight="1" s="77"/>
    <row r="587" ht="14.25" customHeight="1" s="77"/>
    <row r="588" ht="14.25" customHeight="1" s="77"/>
    <row r="589" ht="14.25" customHeight="1" s="77"/>
    <row r="590" ht="14.25" customHeight="1" s="77"/>
    <row r="591" ht="14.25" customHeight="1" s="77"/>
    <row r="592" ht="14.25" customHeight="1" s="77"/>
    <row r="593" ht="14.25" customHeight="1" s="77"/>
    <row r="594" ht="14.25" customHeight="1" s="77"/>
    <row r="595" ht="14.25" customHeight="1" s="77"/>
    <row r="596" ht="14.25" customHeight="1" s="77"/>
    <row r="597" ht="14.25" customHeight="1" s="77"/>
    <row r="598" ht="14.25" customHeight="1" s="77"/>
    <row r="599" ht="14.25" customHeight="1" s="77"/>
    <row r="600" ht="14.25" customHeight="1" s="77"/>
    <row r="601" ht="14.25" customHeight="1" s="77"/>
    <row r="602" ht="14.25" customHeight="1" s="77"/>
    <row r="603" ht="14.25" customHeight="1" s="77"/>
    <row r="604" ht="14.25" customHeight="1" s="77"/>
    <row r="605" ht="14.25" customHeight="1" s="77"/>
    <row r="606" ht="14.25" customHeight="1" s="77"/>
    <row r="607" ht="14.25" customHeight="1" s="77"/>
    <row r="608" ht="14.25" customHeight="1" s="77"/>
    <row r="609" ht="14.25" customHeight="1" s="77"/>
    <row r="610" ht="14.25" customHeight="1" s="77"/>
    <row r="611" ht="14.25" customHeight="1" s="77"/>
    <row r="612" ht="14.25" customHeight="1" s="77"/>
    <row r="613" ht="14.25" customHeight="1" s="77"/>
    <row r="614" ht="14.25" customHeight="1" s="77"/>
    <row r="615" ht="14.25" customHeight="1" s="77"/>
    <row r="616" ht="14.25" customHeight="1" s="77"/>
    <row r="617" ht="14.25" customHeight="1" s="77"/>
    <row r="618" ht="14.25" customHeight="1" s="77"/>
    <row r="619" ht="14.25" customHeight="1" s="77"/>
    <row r="620" ht="14.25" customHeight="1" s="77"/>
    <row r="621" ht="14.25" customHeight="1" s="77"/>
    <row r="622" ht="14.25" customHeight="1" s="77"/>
    <row r="623" ht="14.25" customHeight="1" s="77"/>
    <row r="624" ht="14.25" customHeight="1" s="77"/>
    <row r="625" ht="14.25" customHeight="1" s="77"/>
    <row r="626" ht="14.25" customHeight="1" s="77"/>
    <row r="627" ht="14.25" customHeight="1" s="77"/>
    <row r="628" ht="14.25" customHeight="1" s="77"/>
    <row r="629" ht="14.25" customHeight="1" s="77"/>
    <row r="630" ht="14.25" customHeight="1" s="77"/>
    <row r="631" ht="14.25" customHeight="1" s="77"/>
    <row r="632" ht="14.25" customHeight="1" s="77"/>
    <row r="633" ht="14.25" customHeight="1" s="77"/>
    <row r="634" ht="14.25" customHeight="1" s="77"/>
    <row r="635" ht="14.25" customHeight="1" s="77"/>
    <row r="636" ht="14.25" customHeight="1" s="77"/>
    <row r="637" ht="14.25" customHeight="1" s="77"/>
    <row r="638" ht="14.25" customHeight="1" s="77"/>
    <row r="639" ht="14.25" customHeight="1" s="77"/>
    <row r="640" ht="14.25" customHeight="1" s="77"/>
    <row r="641" ht="14.25" customHeight="1" s="77"/>
    <row r="642" ht="14.25" customHeight="1" s="77"/>
    <row r="643" ht="14.25" customHeight="1" s="77"/>
    <row r="644" ht="14.25" customHeight="1" s="77"/>
    <row r="645" ht="14.25" customHeight="1" s="77"/>
    <row r="646" ht="14.25" customHeight="1" s="77"/>
    <row r="647" ht="14.25" customHeight="1" s="77"/>
    <row r="648" ht="14.25" customHeight="1" s="77"/>
    <row r="649" ht="14.25" customHeight="1" s="77"/>
    <row r="650" ht="14.25" customHeight="1" s="77"/>
    <row r="651" ht="14.25" customHeight="1" s="77"/>
    <row r="652" ht="14.25" customHeight="1" s="77"/>
    <row r="653" ht="14.25" customHeight="1" s="77"/>
    <row r="654" ht="14.25" customHeight="1" s="77"/>
    <row r="655" ht="14.25" customHeight="1" s="77"/>
    <row r="656" ht="14.25" customHeight="1" s="77"/>
    <row r="657" ht="14.25" customHeight="1" s="77"/>
    <row r="658" ht="14.25" customHeight="1" s="77"/>
    <row r="659" ht="14.25" customHeight="1" s="77"/>
    <row r="660" ht="14.25" customHeight="1" s="77"/>
    <row r="661" ht="14.25" customHeight="1" s="77"/>
    <row r="662" ht="14.25" customHeight="1" s="77"/>
    <row r="663" ht="14.25" customHeight="1" s="77"/>
    <row r="664" ht="14.25" customHeight="1" s="77"/>
    <row r="665" ht="14.25" customHeight="1" s="77"/>
    <row r="666" ht="14.25" customHeight="1" s="77"/>
    <row r="667" ht="14.25" customHeight="1" s="77"/>
    <row r="668" ht="14.25" customHeight="1" s="77"/>
    <row r="669" ht="14.25" customHeight="1" s="77"/>
    <row r="670" ht="14.25" customHeight="1" s="77"/>
    <row r="671" ht="14.25" customHeight="1" s="77"/>
    <row r="672" ht="14.25" customHeight="1" s="77"/>
    <row r="673" ht="14.25" customHeight="1" s="77"/>
    <row r="674" ht="14.25" customHeight="1" s="77"/>
    <row r="675" ht="14.25" customHeight="1" s="77"/>
    <row r="676" ht="14.25" customHeight="1" s="77"/>
    <row r="677" ht="14.25" customHeight="1" s="77"/>
    <row r="678" ht="14.25" customHeight="1" s="77"/>
    <row r="679" ht="14.25" customHeight="1" s="77"/>
    <row r="680" ht="14.25" customHeight="1" s="77"/>
    <row r="681" ht="14.25" customHeight="1" s="77"/>
    <row r="682" ht="14.25" customHeight="1" s="77"/>
    <row r="683" ht="14.25" customHeight="1" s="77"/>
    <row r="684" ht="14.25" customHeight="1" s="77"/>
    <row r="685" ht="14.25" customHeight="1" s="77"/>
    <row r="686" ht="14.25" customHeight="1" s="77"/>
    <row r="687" ht="14.25" customHeight="1" s="77"/>
    <row r="688" ht="14.25" customHeight="1" s="77"/>
    <row r="689" ht="14.25" customHeight="1" s="77"/>
    <row r="690" ht="14.25" customHeight="1" s="77"/>
    <row r="691" ht="14.25" customHeight="1" s="77"/>
    <row r="692" ht="14.25" customHeight="1" s="77"/>
    <row r="693" ht="14.25" customHeight="1" s="77"/>
    <row r="694" ht="14.25" customHeight="1" s="77"/>
    <row r="695" ht="14.25" customHeight="1" s="77"/>
    <row r="696" ht="14.25" customHeight="1" s="77"/>
    <row r="697" ht="14.25" customHeight="1" s="77"/>
    <row r="698" ht="14.25" customHeight="1" s="77"/>
    <row r="699" ht="14.25" customHeight="1" s="77"/>
    <row r="700" ht="14.25" customHeight="1" s="77"/>
    <row r="701" ht="14.25" customHeight="1" s="77"/>
    <row r="702" ht="14.25" customHeight="1" s="77"/>
    <row r="703" ht="14.25" customHeight="1" s="77"/>
    <row r="704" ht="14.25" customHeight="1" s="77"/>
    <row r="705" ht="14.25" customHeight="1" s="77"/>
    <row r="706" ht="14.25" customHeight="1" s="77"/>
    <row r="707" ht="14.25" customHeight="1" s="77"/>
    <row r="708" ht="14.25" customHeight="1" s="77"/>
    <row r="709" ht="14.25" customHeight="1" s="77"/>
    <row r="710" ht="14.25" customHeight="1" s="77"/>
    <row r="711" ht="14.25" customHeight="1" s="77"/>
    <row r="712" ht="14.25" customHeight="1" s="77"/>
    <row r="713" ht="14.25" customHeight="1" s="77"/>
    <row r="714" ht="14.25" customHeight="1" s="77"/>
    <row r="715" ht="14.25" customHeight="1" s="77"/>
    <row r="716" ht="14.25" customHeight="1" s="77"/>
    <row r="717" ht="14.25" customHeight="1" s="77"/>
    <row r="718" ht="14.25" customHeight="1" s="77"/>
    <row r="719" ht="14.25" customHeight="1" s="77"/>
    <row r="720" ht="14.25" customHeight="1" s="77"/>
    <row r="721" ht="14.25" customHeight="1" s="77"/>
    <row r="722" ht="14.25" customHeight="1" s="77"/>
    <row r="723" ht="14.25" customHeight="1" s="77"/>
    <row r="724" ht="14.25" customHeight="1" s="77"/>
    <row r="725" ht="14.25" customHeight="1" s="77"/>
    <row r="726" ht="14.25" customHeight="1" s="77"/>
    <row r="727" ht="14.25" customHeight="1" s="77"/>
    <row r="728" ht="14.25" customHeight="1" s="77"/>
    <row r="729" ht="14.25" customHeight="1" s="77"/>
    <row r="730" ht="14.25" customHeight="1" s="77"/>
    <row r="731" ht="14.25" customHeight="1" s="77"/>
    <row r="732" ht="14.25" customHeight="1" s="77"/>
    <row r="733" ht="14.25" customHeight="1" s="77"/>
    <row r="734" ht="14.25" customHeight="1" s="77"/>
    <row r="735" ht="14.25" customHeight="1" s="77"/>
    <row r="736" ht="14.25" customHeight="1" s="77"/>
    <row r="737" ht="14.25" customHeight="1" s="77"/>
    <row r="738" ht="14.25" customHeight="1" s="77"/>
    <row r="739" ht="14.25" customHeight="1" s="77"/>
    <row r="740" ht="14.25" customHeight="1" s="77"/>
    <row r="741" ht="14.25" customHeight="1" s="77"/>
    <row r="742" ht="14.25" customHeight="1" s="77"/>
    <row r="743" ht="14.25" customHeight="1" s="77"/>
    <row r="744" ht="14.25" customHeight="1" s="77"/>
    <row r="745" ht="14.25" customHeight="1" s="77"/>
    <row r="746" ht="14.25" customHeight="1" s="77"/>
    <row r="747" ht="14.25" customHeight="1" s="77"/>
    <row r="748" ht="14.25" customHeight="1" s="77"/>
    <row r="749" ht="14.25" customHeight="1" s="77"/>
    <row r="750" ht="14.25" customHeight="1" s="77"/>
    <row r="751" ht="14.25" customHeight="1" s="77"/>
    <row r="752" ht="14.25" customHeight="1" s="77"/>
    <row r="753" ht="14.25" customHeight="1" s="77"/>
    <row r="754" ht="14.25" customHeight="1" s="77"/>
    <row r="755" ht="14.25" customHeight="1" s="77"/>
    <row r="756" ht="14.25" customHeight="1" s="77"/>
    <row r="757" ht="14.25" customHeight="1" s="77"/>
    <row r="758" ht="14.25" customHeight="1" s="77"/>
    <row r="759" ht="14.25" customHeight="1" s="77"/>
    <row r="760" ht="14.25" customHeight="1" s="77"/>
    <row r="761" ht="14.25" customHeight="1" s="77"/>
    <row r="762" ht="14.25" customHeight="1" s="77"/>
    <row r="763" ht="14.25" customHeight="1" s="77"/>
    <row r="764" ht="14.25" customHeight="1" s="77"/>
    <row r="765" ht="14.25" customHeight="1" s="77"/>
    <row r="766" ht="14.25" customHeight="1" s="77"/>
    <row r="767" ht="14.25" customHeight="1" s="77"/>
    <row r="768" ht="14.25" customHeight="1" s="77"/>
    <row r="769" ht="14.25" customHeight="1" s="77"/>
    <row r="770" ht="14.25" customHeight="1" s="77"/>
    <row r="771" ht="14.25" customHeight="1" s="77"/>
    <row r="772" ht="14.25" customHeight="1" s="77"/>
    <row r="773" ht="14.25" customHeight="1" s="77"/>
    <row r="774" ht="14.25" customHeight="1" s="77"/>
    <row r="775" ht="14.25" customHeight="1" s="77"/>
    <row r="776" ht="14.25" customHeight="1" s="77"/>
    <row r="777" ht="14.25" customHeight="1" s="77"/>
    <row r="778" ht="14.25" customHeight="1" s="77"/>
    <row r="779" ht="14.25" customHeight="1" s="77"/>
    <row r="780" ht="14.25" customHeight="1" s="77"/>
    <row r="781" ht="14.25" customHeight="1" s="77"/>
    <row r="782" ht="14.25" customHeight="1" s="77"/>
    <row r="783" ht="14.25" customHeight="1" s="77"/>
    <row r="784" ht="14.25" customHeight="1" s="77"/>
    <row r="785" ht="14.25" customHeight="1" s="77"/>
    <row r="786" ht="14.25" customHeight="1" s="77"/>
    <row r="787" ht="14.25" customHeight="1" s="77"/>
    <row r="788" ht="14.25" customHeight="1" s="77"/>
    <row r="789" ht="14.25" customHeight="1" s="77"/>
    <row r="790" ht="14.25" customHeight="1" s="77"/>
    <row r="791" ht="14.25" customHeight="1" s="77"/>
    <row r="792" ht="14.25" customHeight="1" s="77"/>
    <row r="793" ht="14.25" customHeight="1" s="77"/>
    <row r="794" ht="14.25" customHeight="1" s="77"/>
    <row r="795" ht="14.25" customHeight="1" s="77"/>
    <row r="796" ht="14.25" customHeight="1" s="77"/>
    <row r="797" ht="14.25" customHeight="1" s="77"/>
    <row r="798" ht="14.25" customHeight="1" s="77"/>
    <row r="799" ht="14.25" customHeight="1" s="77"/>
    <row r="800" ht="14.25" customHeight="1" s="77"/>
    <row r="801" ht="14.25" customHeight="1" s="77"/>
    <row r="802" ht="14.25" customHeight="1" s="77"/>
    <row r="803" ht="14.25" customHeight="1" s="77"/>
    <row r="804" ht="14.25" customHeight="1" s="77"/>
    <row r="805" ht="14.25" customHeight="1" s="77"/>
    <row r="806" ht="14.25" customHeight="1" s="77"/>
    <row r="807" ht="14.25" customHeight="1" s="77"/>
    <row r="808" ht="14.25" customHeight="1" s="77"/>
    <row r="809" ht="14.25" customHeight="1" s="77"/>
    <row r="810" ht="14.25" customHeight="1" s="77"/>
    <row r="811" ht="14.25" customHeight="1" s="77"/>
    <row r="812" ht="14.25" customHeight="1" s="77"/>
    <row r="813" ht="14.25" customHeight="1" s="77"/>
    <row r="814" ht="14.25" customHeight="1" s="77"/>
    <row r="815" ht="14.25" customHeight="1" s="77"/>
    <row r="816" ht="14.25" customHeight="1" s="77"/>
    <row r="817" ht="14.25" customHeight="1" s="77"/>
    <row r="818" ht="14.25" customHeight="1" s="77"/>
    <row r="819" ht="14.25" customHeight="1" s="77"/>
    <row r="820" ht="14.25" customHeight="1" s="77"/>
    <row r="821" ht="14.25" customHeight="1" s="77"/>
    <row r="822" ht="14.25" customHeight="1" s="77"/>
    <row r="823" ht="14.25" customHeight="1" s="77"/>
    <row r="824" ht="14.25" customHeight="1" s="77"/>
    <row r="825" ht="14.25" customHeight="1" s="77"/>
    <row r="826" ht="14.25" customHeight="1" s="77"/>
    <row r="827" ht="14.25" customHeight="1" s="77"/>
    <row r="828" ht="14.25" customHeight="1" s="77"/>
    <row r="829" ht="14.25" customHeight="1" s="77"/>
    <row r="830" ht="14.25" customHeight="1" s="77"/>
    <row r="831" ht="14.25" customHeight="1" s="77"/>
    <row r="832" ht="14.25" customHeight="1" s="77"/>
    <row r="833" ht="14.25" customHeight="1" s="77"/>
    <row r="834" ht="14.25" customHeight="1" s="77"/>
    <row r="835" ht="14.25" customHeight="1" s="77"/>
    <row r="836" ht="14.25" customHeight="1" s="77"/>
    <row r="837" ht="14.25" customHeight="1" s="77"/>
    <row r="838" ht="14.25" customHeight="1" s="77"/>
    <row r="839" ht="14.25" customHeight="1" s="77"/>
    <row r="840" ht="14.25" customHeight="1" s="77"/>
    <row r="841" ht="14.25" customHeight="1" s="77"/>
    <row r="842" ht="14.25" customHeight="1" s="77"/>
    <row r="843" ht="14.25" customHeight="1" s="77"/>
    <row r="844" ht="14.25" customHeight="1" s="77"/>
    <row r="845" ht="14.25" customHeight="1" s="77"/>
    <row r="846" ht="14.25" customHeight="1" s="77"/>
    <row r="847" ht="14.25" customHeight="1" s="77"/>
    <row r="848" ht="14.25" customHeight="1" s="77"/>
    <row r="849" ht="14.25" customHeight="1" s="77"/>
    <row r="850" ht="14.25" customHeight="1" s="77"/>
    <row r="851" ht="14.25" customHeight="1" s="77"/>
    <row r="852" ht="14.25" customHeight="1" s="77"/>
    <row r="853" ht="14.25" customHeight="1" s="77"/>
    <row r="854" ht="14.25" customHeight="1" s="77"/>
    <row r="855" ht="14.25" customHeight="1" s="77"/>
    <row r="856" ht="14.25" customHeight="1" s="77"/>
    <row r="857" ht="14.25" customHeight="1" s="77"/>
    <row r="858" ht="14.25" customHeight="1" s="77"/>
    <row r="859" ht="14.25" customHeight="1" s="77"/>
    <row r="860" ht="14.25" customHeight="1" s="77"/>
    <row r="861" ht="14.25" customHeight="1" s="77"/>
    <row r="862" ht="14.25" customHeight="1" s="77"/>
    <row r="863" ht="14.25" customHeight="1" s="77"/>
    <row r="864" ht="14.25" customHeight="1" s="77"/>
    <row r="865" ht="14.25" customHeight="1" s="77"/>
    <row r="866" ht="14.25" customHeight="1" s="77"/>
    <row r="867" ht="14.25" customHeight="1" s="77"/>
    <row r="868" ht="14.25" customHeight="1" s="77"/>
    <row r="869" ht="14.25" customHeight="1" s="77"/>
    <row r="870" ht="14.25" customHeight="1" s="77"/>
    <row r="871" ht="14.25" customHeight="1" s="77"/>
    <row r="872" ht="14.25" customHeight="1" s="77"/>
    <row r="873" ht="14.25" customHeight="1" s="77"/>
    <row r="874" ht="14.25" customHeight="1" s="77"/>
    <row r="875" ht="14.25" customHeight="1" s="77"/>
    <row r="876" ht="14.25" customHeight="1" s="77"/>
    <row r="877" ht="14.25" customHeight="1" s="77"/>
    <row r="878" ht="14.25" customHeight="1" s="77"/>
    <row r="879" ht="14.25" customHeight="1" s="77"/>
    <row r="880" ht="14.25" customHeight="1" s="77"/>
    <row r="881" ht="14.25" customHeight="1" s="77"/>
    <row r="882" ht="14.25" customHeight="1" s="77"/>
    <row r="883" ht="14.25" customHeight="1" s="77"/>
    <row r="884" ht="14.25" customHeight="1" s="77"/>
    <row r="885" ht="14.25" customHeight="1" s="77"/>
    <row r="886" ht="14.25" customHeight="1" s="77"/>
    <row r="887" ht="14.25" customHeight="1" s="77"/>
    <row r="888" ht="14.25" customHeight="1" s="77"/>
    <row r="889" ht="14.25" customHeight="1" s="77"/>
    <row r="890" ht="14.25" customHeight="1" s="77"/>
    <row r="891" ht="14.25" customHeight="1" s="77"/>
    <row r="892" ht="14.25" customHeight="1" s="77"/>
    <row r="893" ht="14.25" customHeight="1" s="77"/>
    <row r="894" ht="14.25" customHeight="1" s="77"/>
    <row r="895" ht="14.25" customHeight="1" s="77"/>
    <row r="896" ht="14.25" customHeight="1" s="77"/>
    <row r="897" ht="14.25" customHeight="1" s="77"/>
    <row r="898" ht="14.25" customHeight="1" s="77"/>
    <row r="899" ht="14.25" customHeight="1" s="77"/>
    <row r="900" ht="14.25" customHeight="1" s="77"/>
    <row r="901" ht="14.25" customHeight="1" s="77"/>
    <row r="902" ht="14.25" customHeight="1" s="77"/>
    <row r="903" ht="14.25" customHeight="1" s="77"/>
    <row r="904" ht="14.25" customHeight="1" s="77"/>
    <row r="905" ht="14.25" customHeight="1" s="77"/>
    <row r="906" ht="14.25" customHeight="1" s="77"/>
    <row r="907" ht="14.25" customHeight="1" s="77"/>
    <row r="908" ht="14.25" customHeight="1" s="77"/>
    <row r="909" ht="14.25" customHeight="1" s="77"/>
    <row r="910" ht="14.25" customHeight="1" s="77"/>
    <row r="911" ht="14.25" customHeight="1" s="77"/>
    <row r="912" ht="14.25" customHeight="1" s="77"/>
    <row r="913" ht="14.25" customHeight="1" s="77"/>
    <row r="914" ht="14.25" customHeight="1" s="77"/>
    <row r="915" ht="14.25" customHeight="1" s="77"/>
    <row r="916" ht="14.25" customHeight="1" s="77"/>
    <row r="917" ht="14.25" customHeight="1" s="77"/>
    <row r="918" ht="14.25" customHeight="1" s="77"/>
    <row r="919" ht="14.25" customHeight="1" s="77"/>
    <row r="920" ht="14.25" customHeight="1" s="77"/>
    <row r="921" ht="14.25" customHeight="1" s="77"/>
    <row r="922" ht="14.25" customHeight="1" s="77"/>
    <row r="923" ht="14.25" customHeight="1" s="77"/>
    <row r="924" ht="14.25" customHeight="1" s="77"/>
    <row r="925" ht="14.25" customHeight="1" s="77"/>
    <row r="926" ht="14.25" customHeight="1" s="77"/>
    <row r="927" ht="14.25" customHeight="1" s="77"/>
    <row r="928" ht="14.25" customHeight="1" s="77"/>
    <row r="929" ht="14.25" customHeight="1" s="77"/>
    <row r="930" ht="14.25" customHeight="1" s="77"/>
    <row r="931" ht="14.25" customHeight="1" s="77"/>
    <row r="932" ht="14.25" customHeight="1" s="77"/>
    <row r="933" ht="14.25" customHeight="1" s="77"/>
    <row r="934" ht="14.25" customHeight="1" s="77"/>
    <row r="935" ht="14.25" customHeight="1" s="77"/>
    <row r="936" ht="14.25" customHeight="1" s="77"/>
    <row r="937" ht="14.25" customHeight="1" s="77"/>
    <row r="938" ht="14.25" customHeight="1" s="77"/>
    <row r="939" ht="14.25" customHeight="1" s="77"/>
    <row r="940" ht="14.25" customHeight="1" s="77"/>
    <row r="941" ht="14.25" customHeight="1" s="77"/>
    <row r="942" ht="14.25" customHeight="1" s="77"/>
    <row r="943" ht="14.25" customHeight="1" s="77"/>
    <row r="944" ht="14.25" customHeight="1" s="77"/>
    <row r="945" ht="14.25" customHeight="1" s="77"/>
    <row r="946" ht="14.25" customHeight="1" s="77"/>
    <row r="947" ht="14.25" customHeight="1" s="77"/>
    <row r="948" ht="14.25" customHeight="1" s="77"/>
    <row r="949" ht="14.25" customHeight="1" s="77"/>
    <row r="950" ht="14.25" customHeight="1" s="77"/>
    <row r="951" ht="14.25" customHeight="1" s="77"/>
    <row r="952" ht="14.25" customHeight="1" s="77"/>
    <row r="953" ht="14.25" customHeight="1" s="77"/>
    <row r="954" ht="14.25" customHeight="1" s="77"/>
    <row r="955" ht="14.25" customHeight="1" s="77"/>
    <row r="956" ht="14.25" customHeight="1" s="77"/>
    <row r="957" ht="14.25" customHeight="1" s="77"/>
    <row r="958" ht="14.25" customHeight="1" s="77"/>
    <row r="959" ht="14.25" customHeight="1" s="77"/>
    <row r="960" ht="14.25" customHeight="1" s="77"/>
    <row r="961" ht="14.25" customHeight="1" s="77"/>
    <row r="962" ht="14.25" customHeight="1" s="77"/>
    <row r="963" ht="14.25" customHeight="1" s="77"/>
    <row r="964" ht="14.25" customHeight="1" s="77"/>
    <row r="965" ht="14.25" customHeight="1" s="77"/>
    <row r="966" ht="14.25" customHeight="1" s="77"/>
    <row r="967" ht="14.25" customHeight="1" s="77"/>
    <row r="968" ht="14.25" customHeight="1" s="77"/>
    <row r="969" ht="14.25" customHeight="1" s="77"/>
    <row r="970" ht="14.25" customHeight="1" s="77"/>
    <row r="971" ht="14.25" customHeight="1" s="77"/>
    <row r="972" ht="14.25" customHeight="1" s="77"/>
    <row r="973" ht="14.25" customHeight="1" s="77"/>
    <row r="974" ht="14.25" customHeight="1" s="77"/>
    <row r="975" ht="14.25" customHeight="1" s="77"/>
    <row r="976" ht="14.25" customHeight="1" s="77"/>
    <row r="977" ht="14.25" customHeight="1" s="77"/>
    <row r="978" ht="14.25" customHeight="1" s="77"/>
    <row r="979" ht="14.25" customHeight="1" s="77"/>
    <row r="980" ht="14.25" customHeight="1" s="77"/>
    <row r="981" ht="14.25" customHeight="1" s="77"/>
    <row r="982" ht="14.25" customHeight="1" s="77"/>
    <row r="983" ht="14.25" customHeight="1" s="77"/>
    <row r="984" ht="14.25" customHeight="1" s="77"/>
    <row r="985" ht="14.25" customHeight="1" s="77"/>
    <row r="986" ht="14.25" customHeight="1" s="77"/>
    <row r="987" ht="14.25" customHeight="1" s="77"/>
    <row r="988" ht="14.25" customHeight="1" s="77"/>
    <row r="989" ht="14.25" customHeight="1" s="77"/>
    <row r="990" ht="14.25" customHeight="1" s="77"/>
    <row r="991" ht="14.25" customHeight="1" s="77"/>
    <row r="992" ht="14.25" customHeight="1" s="77"/>
    <row r="993" ht="14.25" customHeight="1" s="77"/>
    <row r="994" ht="14.25" customHeight="1" s="77"/>
    <row r="995" ht="14.25" customHeight="1" s="77"/>
    <row r="996" ht="14.25" customHeight="1" s="77"/>
    <row r="997" ht="14.25" customHeight="1" s="77"/>
    <row r="998" ht="14.25" customHeight="1" s="77"/>
    <row r="999" ht="14.25" customHeight="1" s="77"/>
    <row r="1000" ht="14.25" customHeight="1" s="77"/>
  </sheetData>
  <mergeCells count="4">
    <mergeCell ref="N1:AD1"/>
    <mergeCell ref="AE1:AU1"/>
    <mergeCell ref="AW1:BM1"/>
    <mergeCell ref="A1:L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2026-06-02T08:59:52Z</dcterms:created>
  <dcterms:modified xmlns:dcterms="http://purl.org/dc/terms/" xmlns:xsi="http://www.w3.org/2001/XMLSchema-instance" xsi:type="dcterms:W3CDTF">2026-06-02T09:00:05Z</dcterms:modified>
</cp:coreProperties>
</file>